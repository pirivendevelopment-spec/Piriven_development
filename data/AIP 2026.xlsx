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" sheetId="1" r:id="rId5"/>
    <sheet state="visible" name="Data_Log" sheetId="2" r:id="rId6"/>
    <sheet state="visible" name="Voucher_Log" sheetId="3" r:id="rId7"/>
    <sheet state="visible" name="12" sheetId="4" r:id="rId8"/>
    <sheet state="visible" name="AIP_Reference" sheetId="5" r:id="rId9"/>
    <sheet state="visible" name="Users" sheetId="6" r:id="rId10"/>
    <sheet state="visible" name="Dashboard" sheetId="7" r:id="rId11"/>
    <sheet state="visible" name="Settings" sheetId="8" r:id="rId12"/>
  </sheets>
  <definedNames>
    <definedName hidden="1" localSheetId="1" name="_xlnm._FilterDatabase">Data_Log!$A$1:$Z$56</definedName>
  </definedNames>
  <calcPr/>
</workbook>
</file>

<file path=xl/sharedStrings.xml><?xml version="1.0" encoding="utf-8"?>
<sst xmlns="http://schemas.openxmlformats.org/spreadsheetml/2006/main" count="1597" uniqueCount="682">
  <si>
    <t>අ.අ.</t>
  </si>
  <si>
    <t>action No</t>
  </si>
  <si>
    <t>දිනය</t>
  </si>
  <si>
    <t>විස්තරය</t>
  </si>
  <si>
    <t>පරිශීලක</t>
  </si>
  <si>
    <t>වැය ශීර්ෂය</t>
  </si>
  <si>
    <t>Action No</t>
  </si>
  <si>
    <t>වැඩසටහන</t>
  </si>
  <si>
    <t>Activity (C)</t>
  </si>
  <si>
    <t>ස්ථානය</t>
  </si>
  <si>
    <t>ප්‍රතිලාභීන්</t>
  </si>
  <si>
    <t>ඇස්තමේන්තුව</t>
  </si>
  <si>
    <t>වියදම</t>
  </si>
  <si>
    <t xml:space="preserve">Vote Number </t>
  </si>
  <si>
    <t>අනුමත දීමනාව රුපියල්</t>
  </si>
  <si>
    <t xml:space="preserve">Allocation </t>
  </si>
  <si>
    <t>දින ගණන /පැය ගණන</t>
  </si>
  <si>
    <t>පුද්ගල සංඛ්‍යාව</t>
  </si>
  <si>
    <t>Parent_No</t>
  </si>
  <si>
    <t>ඇස්තමේන්තු වියදම රුපියල්</t>
  </si>
  <si>
    <t>වියදම් එකතුව</t>
  </si>
  <si>
    <t>sub_tripitaka</t>
  </si>
  <si>
    <t>වවුචර අංකය</t>
  </si>
  <si>
    <t>වවුචර දිනය</t>
  </si>
  <si>
    <t>මුදල</t>
  </si>
  <si>
    <t>126-2-05-002-2205</t>
  </si>
  <si>
    <t>16.7.4</t>
  </si>
  <si>
    <t>ත්‍රිපිටක ධර්මය විෂය පුහුණු සැලැස්ම</t>
  </si>
  <si>
    <t>විභාග දෙපාර්තමේන්තුව</t>
  </si>
  <si>
    <t>Salaries and Wages</t>
  </si>
  <si>
    <t>126-2-05-002-1001</t>
  </si>
  <si>
    <t>ත්‍රිපිටක ධර්මවිෂය නිපුණතා පරික්ෂණ පිළිබ ද මාණ්ඩලික නිලධාරි දැනුවත් කිරීම</t>
  </si>
  <si>
    <t>සහභාගිත්ව දීමනා</t>
  </si>
  <si>
    <t>අධ්‍යාපන අමාත්‍යාංශය</t>
  </si>
  <si>
    <t>Other Allowances</t>
  </si>
  <si>
    <t>126-2-05-002-1003</t>
  </si>
  <si>
    <t>sub_seethawala</t>
  </si>
  <si>
    <t>16.7.30</t>
  </si>
  <si>
    <t>දසදින  නේවාසික පුහුණුව</t>
  </si>
  <si>
    <t>සීතාවකපුර පිරිවෙන් ගුරු අභ්‍යාස ආයතනය</t>
  </si>
  <si>
    <t>dev_do1</t>
  </si>
  <si>
    <t>Domestic</t>
  </si>
  <si>
    <t>126-2-05-002-1101</t>
  </si>
  <si>
    <t>126-2-05-002-1202(009)</t>
  </si>
  <si>
    <t>5.0</t>
  </si>
  <si>
    <t>off_ep</t>
  </si>
  <si>
    <t>16.7.25</t>
  </si>
  <si>
    <t>Stationary and office Requisites (Providing stationery to 825 Pirivena institutions)</t>
  </si>
  <si>
    <t>කෘත්‍යාධිකාරී පරිවෙණාධිපති කළමනාකරණ පුහුණු වැඩමුළුව.</t>
  </si>
  <si>
    <t>126-2-05-002-1201</t>
  </si>
  <si>
    <t>ප්‍රත්‍යාවලෝකන පිරිවෙන් අධීක්ෂණය - බදුල්ල දිස්ත්‍රික්කය 2026.05.05-2026.05.09 දින දක්වා</t>
  </si>
  <si>
    <t>පළාත් අධ්‍යාපන දෙපාර්තමේන්තුව නැගෙනහිර.</t>
  </si>
  <si>
    <t>i</t>
  </si>
  <si>
    <t>පරිවේණාධිපති/පරිවේණාචාර්ය - නේවාසික</t>
  </si>
  <si>
    <t>16.7.18</t>
  </si>
  <si>
    <t>සති සක්‍යතා හා ආකල්ප  සංවර්ධන නායකත්ව පුහුණු පස්දින වැඩ සටහන</t>
  </si>
  <si>
    <t>මිතිරිගල , නිස්සරණ වන සෙනසුන</t>
  </si>
  <si>
    <t>Stationary and office Requisites (Providing stationery to 485 Pirivena institutions)</t>
  </si>
  <si>
    <t>හම්බන්තොට දිස්ත්‍රික් පිරිවෙන් අධීක්ෂණය - 2026.05.19 - 2026.05.21</t>
  </si>
  <si>
    <t>16.7.2</t>
  </si>
  <si>
    <t>පාලි විෂය ඉගෙනුම්, ඉගැන්විම, ධාරිතා සංවර්ධන හා ප්‍රතිපල ඉහළ නැංවිමේ  නේවාසික වැඩමුළුව</t>
  </si>
  <si>
    <t>Providing Book sets for llibraries of 825 Pirivenas.</t>
  </si>
  <si>
    <t>ප්‍රජා අධ්‍යාපන මධ්‍යස්ථානය - තලාහේන - මාලඹේ</t>
  </si>
  <si>
    <t>ii</t>
  </si>
  <si>
    <t>Fuel - To implement the PEQI quality indicators of Pirivena institutions and Other Programmes</t>
  </si>
  <si>
    <t>පරිවේණාධිපති/පරිවේණාචාර්ය - නේවාසික නොවන</t>
  </si>
  <si>
    <t>නවක පරිවේණාචාර්යවරුන් සඳහා වු දසදින නේවාසික පුහුණු වැඩසටහන ( 10 වන කණ්ඩායම)</t>
  </si>
  <si>
    <t>පිරිවෙන් අධීක්ෂණය - මහනුවර, මාතලේ සහ නුවරඑළිය දිස්ත්‍රික්ක - 2026.05.18 - 2026.05.21</t>
  </si>
  <si>
    <t>සංවිධාන හා මෙහෙයවීම - වැඩමුළු දිනක් සඳහා (එක් අයකුට පමණි)</t>
  </si>
  <si>
    <t>Postal and Communication</t>
  </si>
  <si>
    <t>126-2-05-002-1402</t>
  </si>
  <si>
    <t>නවක පරිවේණාචාර්යවරුන් සඳහා වු දසදින නේවාසික පුහුණු වැඩසටහන ( 09 වන කණ්ඩායම)</t>
  </si>
  <si>
    <t>අනුරාධපුර, පොළොන්නරුව, ත්‍රීකුණාමලය හා කුරුණෑගල දිස්ත්‍රික් පිරිවෙන් අධීක්ෂණයට යාම හා ඒම වෙනුවෙන් ඉන්ධන වියදම -2026.06.01-206.06.04 දක්වා</t>
  </si>
  <si>
    <t>Electricity and Water</t>
  </si>
  <si>
    <t>126-2-05-002-1403</t>
  </si>
  <si>
    <t>අධීක්ෂණ - වැඩමුළු දිනක් සඳහා (එක් අයෙකුට පමණි)</t>
  </si>
  <si>
    <t>නවක පරිවේණාචාර්යවරුන් සඳහා වු දසදින නේවාසික පුහුණු වැඩසටහන ( 11 වන කණ්ඩායම)</t>
  </si>
  <si>
    <t>සිතාවකපුර පිරිවෙන් ගුරු අභ්‍යාස ආයතනය</t>
  </si>
  <si>
    <t>ගාල්ල හා මාතර දිස්ත්‍රික්කවල පිරිවෙන් අධීක්ෂණය වෙනුවෙන් ඉන්ධන වියදම - 2026.06.09 හා10</t>
  </si>
  <si>
    <t>මධ්‍යස්ථාන / ශාලා ගාස්තු</t>
  </si>
  <si>
    <t>Other- Miscellaneous Service Expenditure</t>
  </si>
  <si>
    <t>super_admin</t>
  </si>
  <si>
    <t>126-2-05-002-1409(140)</t>
  </si>
  <si>
    <t>126-2-05-002-1508</t>
  </si>
  <si>
    <t>10.0</t>
  </si>
  <si>
    <t>වාර්ෂික ආධාර මුදල් ගෙවීම</t>
  </si>
  <si>
    <t>-</t>
  </si>
  <si>
    <t>District and All-Ceylon Inter-Piriven Language and Literature Competitions</t>
  </si>
  <si>
    <t>126-2-05-010-1501</t>
  </si>
  <si>
    <t>මූල්‍ය අධීක්ෂණය (එක් වැඩසටහනකට, එක් නිලධාරියෙකුට එක් දිනක් සඳහා පමණි)</t>
  </si>
  <si>
    <t>11.0</t>
  </si>
  <si>
    <t>පිරිවෙන් සිසුන් සඳහා පාවහන් තිළිනපත් ලබා ගැනීමට මුදල් පවරා ඇත</t>
  </si>
  <si>
    <t>Printing of Teacher Performance Index and Professional Guidances</t>
  </si>
  <si>
    <t>1.0</t>
  </si>
  <si>
    <t>ජුනි 30 දිනට වැටුප්</t>
  </si>
  <si>
    <t>Printing of Class Management Performance Index and Guidances</t>
  </si>
  <si>
    <t>ගණකාධිකාරී</t>
  </si>
  <si>
    <t>Preparation and printing expenses for question papers for end-of-term examinations</t>
  </si>
  <si>
    <t>2.0</t>
  </si>
  <si>
    <t>ජුලි 30 දිනට</t>
  </si>
  <si>
    <t>Succession allowances for Pirivena teachers undergoing training at the Seethawaka Teacher Training Institute</t>
  </si>
  <si>
    <t>ගුරු උපදේශක හා ප්‍රවිණ පරිවේණාචාර්යවරුන්ගේ තෙදින නේවාසික වැඩ සටහන (TOT) 2026.06.24.25.26</t>
  </si>
  <si>
    <t>ප්‍රජා අධ්‍යාපන මධ්‍යස්ථානය, තලහේන, මාලඹේ</t>
  </si>
  <si>
    <t>Administrative expenses for holding the Pirivena Education Board</t>
  </si>
  <si>
    <t>3.0</t>
  </si>
  <si>
    <t>ජුනි 30 ට ගමන් වියදම්</t>
  </si>
  <si>
    <t>201.202.203.මණ්ඩලයේ අනුමත නවක පරිවේණාචාර්යවරුන්ගේ ධාරිතා සංවර්ධන  තෙදින වැඩ සටහන</t>
  </si>
  <si>
    <t>Providing allowances for extra resource persons assigned to teach Tamil in Pirivenas</t>
  </si>
  <si>
    <t>සහාය කාර්යමණ්ඩල සඳහා</t>
  </si>
  <si>
    <t>Launching and printing of the "Saragaveshi" Action Research Journal.</t>
  </si>
  <si>
    <t>සති ශක්‍යතා හා අකාල්ප සංවර්ධන නායකත්ව පුහුණ පස්දින වැඩ සටහන ඉංග්‍රිසි පිරිවෙන්හි  විෂය  උගන්වන තොරාගත් පරිවේණාචාර්ය වරුන් සදහා</t>
  </si>
  <si>
    <t>4.1</t>
  </si>
  <si>
    <t>මිතිරිගල නිස්සරණ වන සෙනසුන</t>
  </si>
  <si>
    <t>ජුනි 30 දිනට</t>
  </si>
  <si>
    <t>Special extra curricular activities and national talent evaluation program to be held on the occasion of National Pirivena Day</t>
  </si>
  <si>
    <t>නවක පරිවේණාචාර්යවරුන් සඳහා වු දසදින නේවාසික පුහුණු වැඩසටහන (13 කණ්ඩායම)</t>
  </si>
  <si>
    <t>මධ්‍යස්ථාන / නේවාසිකාගාර භාරකරු (එක් දිනකට පමණි)</t>
  </si>
  <si>
    <t>ජුනි 30 ට</t>
  </si>
  <si>
    <t>Participation allowances for monitoring the standards of the Pirivena Education Quality index (PEQI)</t>
  </si>
  <si>
    <t>dep_ncp</t>
  </si>
  <si>
    <t>16.7.26</t>
  </si>
  <si>
    <t>ධාරිතා සංවර්ධන වැඩසටහන (පරිවේණාධිපති)</t>
  </si>
  <si>
    <t>අධ්‍යාපන සංවර්ධන මධ්‍යස්ථානය, අනුරාධපුර</t>
  </si>
  <si>
    <t>Teacher Training Pay Back (Ed. Dip &amp; Training Programmes)</t>
  </si>
  <si>
    <t>8.9</t>
  </si>
  <si>
    <t>අගෝස්තු 31 ට</t>
  </si>
  <si>
    <t>සරප් (එක් දිනකට පමණි)</t>
  </si>
  <si>
    <t>16.9.4</t>
  </si>
  <si>
    <t>Program for evaluating teachers who have demonstrated national talent on the occasion of World Teachers' Day</t>
  </si>
  <si>
    <t>සිසු නිපණතා ඇගයීම</t>
  </si>
  <si>
    <t>ශ්‍රී ගුණරතන පිරිවෙන</t>
  </si>
  <si>
    <t>iii</t>
  </si>
  <si>
    <t>126-2-05-002-1506</t>
  </si>
  <si>
    <t>කළමනාකරණ සේවා / සංවර්ධන නිලධාරී - ආයතන (එක් වැඩසටහනකට එක් අයෙකුට පමණක්)</t>
  </si>
  <si>
    <t>Property Loan Inters to Public Servants</t>
  </si>
  <si>
    <t>9.0</t>
  </si>
  <si>
    <t>sub_sinhala</t>
  </si>
  <si>
    <t>16.7.1</t>
  </si>
  <si>
    <t>සිංහල විෂය ගුරු උපදේශක හා ජ්‍යේෂ්ඨ ගුරුවරුන්  ධාරිතා සංවර්ධන වැඩසටහන තෙදින</t>
  </si>
  <si>
    <t>ති රතන ආයතනය -කොට්ටාව</t>
  </si>
  <si>
    <t>Other -Students Grant for Pirivena</t>
  </si>
  <si>
    <t>off_up</t>
  </si>
  <si>
    <t>16.7.28</t>
  </si>
  <si>
    <t>iv</t>
  </si>
  <si>
    <t>සිංහල විෂය ගුරු ධාරිතා පුහුණු වැඩසටහන</t>
  </si>
  <si>
    <t>රියැදුරු</t>
  </si>
  <si>
    <t>සම්පත් මධ්‍යස්ථානය - හාලිඇල</t>
  </si>
  <si>
    <t>"Shoes For Pirivenas Students" Providing shoe gift vouchers to 30,000 Pirivena students.</t>
  </si>
  <si>
    <t>v</t>
  </si>
  <si>
    <t>කා.කා.ස./කම්කරු/විද්‍යාගාර සහායක/පුස්තකාල සහායක</t>
  </si>
  <si>
    <t>සෞඛ්‍ය විද්‍යාව විෂය ගුරු ධාරිතා පුහුණු වැඩසටහන</t>
  </si>
  <si>
    <t>Covering the annual estimated cost for the repair and maintenance of office equipment and electronic devices used in the Pirivena Education Division.</t>
  </si>
  <si>
    <t>126-1-02-000-2002</t>
  </si>
  <si>
    <t>ත්‍රිපිටක ධර්මය ගුරු ධාරිතා පුහුණු වැඩසටහන</t>
  </si>
  <si>
    <t>සම්පත් මධ්‍යස්ථානය -හාලිඇල</t>
  </si>
  <si>
    <t>සම්පත්දායක දීමනා (දිනකට පැය 03 ක උපරිමයට යටත් ව / විශ්‍රාමික නිලධරයන් සඳහා දිනකට උපරිම පැය 06)</t>
  </si>
  <si>
    <t>Rehabilitation and Improvement of Capital Assets</t>
  </si>
  <si>
    <t>sub_english</t>
  </si>
  <si>
    <t>126-1-02-000-2003</t>
  </si>
  <si>
    <t>16.7.6</t>
  </si>
  <si>
    <t>ඉංග්‍රීසි ගුරු උපදේශකවරුන හා ජ්‍යෙෂ්ඨ පරිටෙව්ණාචාර්යවරුන් පුහුණු කිරීමේ වැඩසටහන</t>
  </si>
  <si>
    <t>හාරගම සම්පත් මධ්‍යස්ථානය</t>
  </si>
  <si>
    <t>Vehicles</t>
  </si>
  <si>
    <t>පිළිගත් විශ්ව විද්‍යාලයක ජ්‍යෙෂ්ඨ මහාචාර්යවරුන්/ මහාචාර්යවරුන් (සේවා නියුක්ත හා විශ්‍රාමික)</t>
  </si>
  <si>
    <t>ඉංග්‍රිසි විෂය ගුරු ධාරිතා පුහුණු වැඩසටහන</t>
  </si>
  <si>
    <t>ශ්‍රී ලං:ප:සේ: හා සමාන්තර දීප ව්‍යාප්ත සේවාවල විශේෂ ශ්‍රේණියේ නිලධාරීන් (සේවා නියුක්ත හා විශ්‍රාමික)</t>
  </si>
  <si>
    <t>Acquisition of essential office equipment and furniture for the Pirivena Education Division.</t>
  </si>
  <si>
    <t>126-1-02-000-2102</t>
  </si>
  <si>
    <t>ඉංග්‍රීසි පරිවේණාචාර්වරුන් පුහුණු කිරීමේ ධාරිතා සංවර්ධන වැඩසටහන</t>
  </si>
  <si>
    <t>රාජ්‍ය සංස්ථා හෝ ව්‍යවස්ථාපිත මණ්ඩලවල ජ්‍යෙෂ්ඨ කළමනාකාර මට්ටමේ C 2-1, C 2-2 හා C 2-3 සේවා ගණවල නිලධාරීන්</t>
  </si>
  <si>
    <t>No. of 5 Office Steel Cabinet (Small)</t>
  </si>
  <si>
    <t>ගණිතය විෂය ධාරිතා පුහුණු වැඩසටහන</t>
  </si>
  <si>
    <t>පිළිගත් විශ්ව විද්‍යාලයක ජ්‍යෙෂ්ඨ කථිකාචාර්යවරුන් (සේවා නියුක්ත හා විශ්‍රාමික)</t>
  </si>
  <si>
    <t>Purchase No. of 3 new desktop computers.</t>
  </si>
  <si>
    <t>Staff Officer Training</t>
  </si>
  <si>
    <t>ශ්‍රී ලං:ප:සේ: හා සමාන්තර දීප ව්‍යාප්ත සේවාවල I වන පන්තියේ නිලධාරීන් (සේවා නියුක්ත හා විශ්‍රාමික)</t>
  </si>
  <si>
    <t>126-1-02-000-2401</t>
  </si>
  <si>
    <t>Staff Level Officer Training</t>
  </si>
  <si>
    <t>සමාජ විද්‍යාව විෂය ධාරිතා පුහුණු වැඩසටහන</t>
  </si>
  <si>
    <t>ගුරු අධ්‍යාපනඥ සේවයේ I වන පන්තියේ නිලධාරීන් (සේවා නියුක්ත හා විශ්‍රාමික)</t>
  </si>
  <si>
    <t>External training programs for tertiary staff belonging to the integrated services</t>
  </si>
  <si>
    <t>රාජ්‍ය සංස්ථා හෝ ව්‍යවස්ථාපිත මණ්ඩලවල ජ්‍යෙෂ්ඨ කළමනාකාර මට්ටමේ C 1-1, C 1-2 හා C 1-3, AR 2 සේවා ගණවල නිලධාරීන්</t>
  </si>
  <si>
    <t>ඉතිහාසය විෂය ගුරු ධාරිතා පුහුණු වැඩසටහන</t>
  </si>
  <si>
    <t>Training programs for junior employees</t>
  </si>
  <si>
    <t>පිළිගත් විශ්ව විද්‍යාලයක කථිකාචාර්යවරුන්</t>
  </si>
  <si>
    <t>Capital Grant to Non-Public Institution</t>
  </si>
  <si>
    <t>සංස්කෘත විෂය ගුරු ධාරිතා පුහුණු වැඩසටහන</t>
  </si>
  <si>
    <t>ශ්‍රී ලං:ප:සේ: හා සමාන්තර දීප ව්‍යාප්ත සේවාවල II වන පන්තියේ නිලධාරීන්</t>
  </si>
  <si>
    <t>Renovation of buildings and development of infrastructure facilities in identified Pirivenas</t>
  </si>
  <si>
    <t>ගුරු අධ්‍යාපනඥ සේවයේ II වන පන්තියේ නිලධාරීන්</t>
  </si>
  <si>
    <t>Development of 22 model Pirivenas, one per district out of the 825 currently registered Pirivenas (Rs. 5 million * 22)</t>
  </si>
  <si>
    <t>පාලි විෂය ගුරු ධාරිතා පුහුණු වැඩසටහන</t>
  </si>
  <si>
    <t>රාජ්‍ය සංස්ථා හෝ ව්‍යවස්ථාපිත මණ්ඩලවල මධ්‍යම කළමනාකාර මට්ටමේ C 2 හා C 3 සේවා ගණවල නිලධාරීන් හා ජ්‍යෙෂ්ඨ අධ්‍යයන/පර්යේෂණ සේවා ගණයේ AR-2 ඛණ්ඩයේ වැටුප් ලබන්නන්</t>
  </si>
  <si>
    <t>Development of infrastructure facilities at Seethavakapura Piriven Teacher Traning Institute and Veneamulla Teacher Institute.</t>
  </si>
  <si>
    <t>මොනරාගල දිස්ත්‍රික් සිංහල විෂය ගුරු ධාරිතා පුහුණු වැඩසටහන</t>
  </si>
  <si>
    <t>ගුරු මධ්‍යස්ථානය - වැල්ලවාය</t>
  </si>
  <si>
    <t>Providing a grant of Rs. 75,000/= each for the maintenance of aesthetic equipments in 65 Vidyayatana Pirivenas.</t>
  </si>
  <si>
    <t>පිළිගත් විශ්ව විද්‍යාලයක ආධුනික කථිකාචාර්යවරුන්</t>
  </si>
  <si>
    <t>මොනරාගල දිස්ත්‍රික් සෞඛ්‍ය විද්‍යාව විෂය ගුරු ධාරිතා පුහුණු වැඩසටහන</t>
  </si>
  <si>
    <t>ගුර මධ්‍යස්ථානය - වැල්ලවාය</t>
  </si>
  <si>
    <t>Providing equipments and chemicals for Pirivena science laboratories</t>
  </si>
  <si>
    <t>ශ්‍රී ලං:ප:සේ: හා සමාන්තර දීප ව්‍යාප්ත සේවාවල III වන පන්තියේ නිලධාරීන්</t>
  </si>
  <si>
    <t>Providing equipment for practical tests in subjects such as Technology and Geography</t>
  </si>
  <si>
    <t>ගුරු අධ්‍යාපනඥ සේවයේ III වන පන්තියේ නිලධාරීන්</t>
  </si>
  <si>
    <t>මොනරාගල දිස්ත්‍රික් ත්‍රිපිටක ධර්මය විෂය ගුරු ධාරිතා පුහුණු වැඩසටහන</t>
  </si>
  <si>
    <t>Providing equipment for Pirivena mathematics laboratories</t>
  </si>
  <si>
    <t>රාජ්‍ය සංස්ථා හෝ ව්‍යවස්ථාපිත මණ්ඩලවල මධ්‍යම කළමනාකාර මට්ටමේ C 1 හා අධ්‍යයන/පර්යේෂණ සේවා ගණයේ AR-1 ඛණ්ඩයේ වැටුප් ලබන්නන්</t>
  </si>
  <si>
    <t>මොනරාගල දිස්ත්‍රික් ඉංග්‍රිසි විෂය ගුරු ධාරිතා පුහුණු වැඩසටහන</t>
  </si>
  <si>
    <t>ගුරු මධ්‍යස්ථාසනය - වැල්ලවාය</t>
  </si>
  <si>
    <t>Capacity development and subject related programs</t>
  </si>
  <si>
    <t>පිළිගත් විශ්ව විද්‍යාලයක පශ්චාත් උපාධි ඩිප්ලෝමාධාරීන් (පෞද්ගලික අංශයේ සේවයේ නියුතු)</t>
  </si>
  <si>
    <t>Sinhala</t>
  </si>
  <si>
    <t>ශ්‍රී ලංකා විදුහල්පති සේවයේ නිලධාරීන් / පරිවේණාධිපති හිමිවරුන්</t>
  </si>
  <si>
    <t>මොනරාගල දිස්ත්‍රික් ගණිතය විෂය ගුරු ධාරිතා පුහුණු වැඩසටහන</t>
  </si>
  <si>
    <t>ශ්‍රී ලංකා ගුරු / පරිවේණාචාර්ය සේවයේ 1 පන්තියේ නිලධාරීන්</t>
  </si>
  <si>
    <t>Pali</t>
  </si>
  <si>
    <t>මොනරාගල දිස්ත්‍රික් සමාජ විද්‍යාව ගුරු ධාරිතා පුහුණු වැඩසටහන</t>
  </si>
  <si>
    <t>ගුරු උපදේශකවරුන්</t>
  </si>
  <si>
    <t>16.7.3</t>
  </si>
  <si>
    <t>Sanskrit</t>
  </si>
  <si>
    <t>පිළිගත් විශ්ව විද්‍යාලයක උපාධිධාරීන්</t>
  </si>
  <si>
    <t>Tripitaka Dharma</t>
  </si>
  <si>
    <t>මොනරාගල දිස්ත්‍රික් ඉතිහාසය විෂය ධාරිතා ගුරු පුහුණු වැඩසටහන</t>
  </si>
  <si>
    <t>කනිෂ්ඨ කළමනාකරණ සේවා ගණයේ නිලධාරීන්</t>
  </si>
  <si>
    <t>16.7.5</t>
  </si>
  <si>
    <t>vi</t>
  </si>
  <si>
    <t>අනෙකුත් සුදුසුකම් සහිත නිලධාරීන්</t>
  </si>
  <si>
    <t>Mathematics</t>
  </si>
  <si>
    <t>මොනරාගල දිස්ත්‍රික් සංස්කෘත විෂය ගුරු ධාරිතා පුහුණු වැඩසටහන</t>
  </si>
  <si>
    <t>English</t>
  </si>
  <si>
    <t>ආහාරපාන හා සංග්‍රහ වියදම්</t>
  </si>
  <si>
    <t>මොනරාගල දිස්ත්‍රික් පාලි විෂය ගුරු ධාරිතා පුහුණු වැඩසටහන</t>
  </si>
  <si>
    <t>16.7.7</t>
  </si>
  <si>
    <t>Tamil</t>
  </si>
  <si>
    <t>dep_ep</t>
  </si>
  <si>
    <t>16.7.8</t>
  </si>
  <si>
    <t>Sociology</t>
  </si>
  <si>
    <t>සසුනෝදය සාමණේර පුහුණු ආකල්ප සංවර්ධන වැඩසටහන</t>
  </si>
  <si>
    <t>ශ්‍රී බෝධිරාජ විහාරය, චීන වරාය</t>
  </si>
  <si>
    <t>උදෑසන තේ - නේවාසික වැඩසටහන් සඳහා පමණි.</t>
  </si>
  <si>
    <t>16.7.9</t>
  </si>
  <si>
    <t>History</t>
  </si>
  <si>
    <t>අන්තර් පාරිවේණික භාෂා හා සාහිත්‍යය සිසු නිපුණතා ඇගයීම්</t>
  </si>
  <si>
    <t>ත්‍රී රතන ජෝති මූලික පිරිවෙන</t>
  </si>
  <si>
    <t>16.7.10</t>
  </si>
  <si>
    <t>Geography</t>
  </si>
  <si>
    <t>off_sgp</t>
  </si>
  <si>
    <t>16.7.29</t>
  </si>
  <si>
    <t>කෘත්‍යාධිකාරී හා පරිවේණාධිපති ස්වාමීන් වහන්සේලාගේ රැස්වීම</t>
  </si>
  <si>
    <t>16.7.11</t>
  </si>
  <si>
    <t>උදේ ආහාරය</t>
  </si>
  <si>
    <t>පළාත් අධ්‍යාපන දෙපාර්තමේන්තුව රත්නපුර</t>
  </si>
  <si>
    <t>IT</t>
  </si>
  <si>
    <t>කෙටි ආහාරයක් සමග උදේ තේ</t>
  </si>
  <si>
    <t>16.7.12</t>
  </si>
  <si>
    <t>Health Science</t>
  </si>
  <si>
    <t>පිරීවෙන් අධ්‍යාපන ගුණාත්මක දර්ශකය ( PEQI)මැන බැලීමේ වැඩසටහන් ප්‍රතිපූර්ණය</t>
  </si>
  <si>
    <t>මෙනේරිපිටිය</t>
  </si>
  <si>
    <t>දිවා ආහාරය (මස්/මාළු/බිත්තර සමග)</t>
  </si>
  <si>
    <t>16.7.13</t>
  </si>
  <si>
    <t>කෙටි ආහාරයක් සමග සවස තේ</t>
  </si>
  <si>
    <t>General Science</t>
  </si>
  <si>
    <t>PEQI හා සම්බන්ධ ශාසන පුනර්ජීවන ශිෂ්‍ය අධ්‍යාත්මික හා නායකත්ව කුසලතා සංවර්ධන ගුරු පුහුණු වැඩමුළුව</t>
  </si>
  <si>
    <t>රාත්‍රී ආහාරය (මස්/මාළු/බිත්තර සමග) - නේවාසික වැඩසටහන් සඳහා පමණි.</t>
  </si>
  <si>
    <t>16.7.14</t>
  </si>
  <si>
    <t>Drama and Theater</t>
  </si>
  <si>
    <t>සබරගමුව පළාතේ විද්‍යායතන පිරිවෙන්වල අධ්‍යාපන ගුණාත්මක දර්ශකය (PEQI) වැඩිදියුණු කිරීම සහ උපාය මාර්ගික සැලසුම්කරණය සදහා වු දෙදින නේවාසික පුහුණු වැඩසටහන</t>
  </si>
  <si>
    <t>නේවාසික ගාස්තු (එක් අයෙකුට එක් දිනකට උපරිම රු. 750.00)</t>
  </si>
  <si>
    <t>මෙනේරි පිටිය</t>
  </si>
  <si>
    <t>16.7.15</t>
  </si>
  <si>
    <t>Arts</t>
  </si>
  <si>
    <t>සබරගමුව පළාත් පිරිවෙන් ගුරු උපදේශකවරුන් සදහා ධාරිතා සංවර්ධන වැඩසටහන මෙනේරිපිටිය</t>
  </si>
  <si>
    <t>16.7.16</t>
  </si>
  <si>
    <t>Dancing</t>
  </si>
  <si>
    <t>16.7.17</t>
  </si>
  <si>
    <t>Officers and other Staff Training</t>
  </si>
  <si>
    <t>සබරගමුව පළාතේ පිරිවෙන්වල ගුරු සහ ගිහි ශිෂ්‍ය නායකත්ව පුහුණු වැඩමුළුව</t>
  </si>
  <si>
    <t>Meditation and Sati – pasala</t>
  </si>
  <si>
    <t>සබරගමුව පළාතේ මූලික පිරිවෙන් වල PEQI වැඩි දියුණු කිරීම සහ උපාය මාර්ගික සැලසුම්කරණය සදහා වු දෙදින නේවාසික පුහුණු වැඩමුළුව</t>
  </si>
  <si>
    <t>16.7.19</t>
  </si>
  <si>
    <t>Samanera Training</t>
  </si>
  <si>
    <t>පිරිවෙන් ගණිත ගුරු භවතුන්ගේ දෙදින නේවාසික ධාරිතා සංවර්ධන වැඩසටහන</t>
  </si>
  <si>
    <t>ලිපි ද්‍රව්‍ය හා වෙනත් එකතුව</t>
  </si>
  <si>
    <t>16.7.20</t>
  </si>
  <si>
    <t>Peradiga Sastra</t>
  </si>
  <si>
    <t>16.7.21</t>
  </si>
  <si>
    <t>Meditation and Counselling</t>
  </si>
  <si>
    <t>අන්තර්පාරිවේණික භාෂා හා සාහිත්‍ය සිසු නිපුණතා ඇගයීම 2026</t>
  </si>
  <si>
    <t>කෑගල්ල</t>
  </si>
  <si>
    <t>එක් වැඩමුළුවක සහභාගීවන්නෙකු සදහා ලිපි ද්‍රව්‍ය</t>
  </si>
  <si>
    <t>16.7.22</t>
  </si>
  <si>
    <t>Capacity Development for Western Province</t>
  </si>
  <si>
    <t>රත්නපුර</t>
  </si>
  <si>
    <t>16.7.23</t>
  </si>
  <si>
    <t>කණ්ඩායම් ක්‍රියාකාරකම් සඳහා අවශ්‍ය ලිපි ද්‍රව්‍ය</t>
  </si>
  <si>
    <t>Capacity Development for Central Province</t>
  </si>
  <si>
    <t>16.7.24</t>
  </si>
  <si>
    <t>Capacity Development for Southern Province</t>
  </si>
  <si>
    <t>පිරිවෙන් පාලි විෂය භාර ගුරුභවතුන්ගේ දෙදින නේවාසික ධාරිතා සංවර්ධන වැඩසටහන</t>
  </si>
  <si>
    <t>පානීය ජලය (වතුර බෝතල්)</t>
  </si>
  <si>
    <t>sub_sanskrit</t>
  </si>
  <si>
    <t>Capacity Development for Eastern Province</t>
  </si>
  <si>
    <t>ඉන්ධන හා ලිහිසි තෙල් වියදම් (ධාවනය වන කිලෝමීටර් ගණන .....................)</t>
  </si>
  <si>
    <t>සංස්කෘත පරිවේණාචාර්යවරුන්ගේ පුහුණු වැඩසටහන - මධ්‍යම පළාත</t>
  </si>
  <si>
    <t>අධ්‍යාපන සංවර්ධන පර්යේෂණ හා පුහුණු මධ්‍යස්ථානය - ගුරුදෙණිය</t>
  </si>
  <si>
    <t>Capacity Development for North &amp; North Central Province</t>
  </si>
  <si>
    <t>16.7.27</t>
  </si>
  <si>
    <t>Capacity Development for North Western Province</t>
  </si>
  <si>
    <t>16.7.31</t>
  </si>
  <si>
    <t>Nuwaraeliya- PBPTD</t>
  </si>
  <si>
    <t>Nu/Sri Senananda Maha Pirivena</t>
  </si>
  <si>
    <t>Capacity Development for Uva Province</t>
  </si>
  <si>
    <t>උපකරණ සඳහා</t>
  </si>
  <si>
    <t>Capacity Development for Sabaragamuwa Province</t>
  </si>
  <si>
    <t>06/2026 චක්‍රලේඛනය අනුව 01-05 ශ්‍රේණි සදහත්  පිරිවෙන්  සාමාන්‍ය  පෙල විභාගය සදහා ඇගයිම් හා තක්සේරුකරණය නිර්ණායක සකස් කිරිම වැඩ මුළුව 01</t>
  </si>
  <si>
    <t>අධ්‍යාපන අමාත්‍යංශය - හතරවන මහල</t>
  </si>
  <si>
    <t>Fulfilling the office equipment requirements of provincial and divisional staff officers.</t>
  </si>
  <si>
    <t>Multimedia with Sounds (උපරිම රු. 12,000.00)</t>
  </si>
  <si>
    <t>off_wp</t>
  </si>
  <si>
    <t>කෘත්‍යාධිකාරි / පරිවෙණාධිපති කලමනාකරණ ධාරිතා සංවර්ධන වැඩමුළුව</t>
  </si>
  <si>
    <t>කළුතර බෝධි භාරකාර මණ්ඩල පරිශ්‍රය</t>
  </si>
  <si>
    <t>Sasunodaya Samanera Attitude Development Program.</t>
  </si>
  <si>
    <t>Screen (උපරිම රු. 5,000.00)</t>
  </si>
  <si>
    <t>16.9.1</t>
  </si>
  <si>
    <t>Western Province</t>
  </si>
  <si>
    <t>කො/ වංගීස මූලික පිරිවෙන, තපොවනය, රාජගිරිය</t>
  </si>
  <si>
    <t>White Board with Markers (උපරිම රු. 2,000.00)</t>
  </si>
  <si>
    <t>16.9.2</t>
  </si>
  <si>
    <t>Central Province</t>
  </si>
  <si>
    <t>ගම්/විද්‍යාවංශ මහ පිරිවෙන, බණ්ඩාරවත්ත</t>
  </si>
  <si>
    <t>16.9.3</t>
  </si>
  <si>
    <t>Southern Province</t>
  </si>
  <si>
    <t>Flip Charts with Papers (උපරිම රු. 3,000.00)</t>
  </si>
  <si>
    <t>Eastern Province</t>
  </si>
  <si>
    <t>16.9.5</t>
  </si>
  <si>
    <t>වෙනත් වියදම්</t>
  </si>
  <si>
    <t>North &amp; North Central Province</t>
  </si>
  <si>
    <t>16.9.6</t>
  </si>
  <si>
    <t>North Western Province</t>
  </si>
  <si>
    <t>තැපැල් ගාස්තු</t>
  </si>
  <si>
    <t>16.9.7</t>
  </si>
  <si>
    <t>Uva Province</t>
  </si>
  <si>
    <t>සහතික පත්‍ර</t>
  </si>
  <si>
    <t>16.9.8</t>
  </si>
  <si>
    <t>Sabaragamuwa Province</t>
  </si>
  <si>
    <t>iii.</t>
  </si>
  <si>
    <t>ඡායා පිටපත් / නිබන්ධන ගාස්තු</t>
  </si>
  <si>
    <t>​iv</t>
  </si>
  <si>
    <t>අනපේක්ෂිත</t>
  </si>
  <si>
    <t>Purchase of essential office equipment and technical equipment for the Pirivena Education Division.</t>
  </si>
  <si>
    <t>මුළු එකතුව</t>
  </si>
  <si>
    <t>Other - Curricullar Revision</t>
  </si>
  <si>
    <t>126-2-05-002-2509(034)</t>
  </si>
  <si>
    <t>In line with the government's proposed education reforms, Pirivena education curriculum revisions, syllabi, teacher guides and modules will be prepared.</t>
  </si>
  <si>
    <t>Parent No</t>
  </si>
  <si>
    <t>Vote Code</t>
  </si>
  <si>
    <t>Activity Name</t>
  </si>
  <si>
    <t>Category</t>
  </si>
  <si>
    <t>Allocation (Rs. '000)</t>
  </si>
  <si>
    <t>Recurrent</t>
  </si>
  <si>
    <t>4.0</t>
  </si>
  <si>
    <t>4.2</t>
  </si>
  <si>
    <t>6.0</t>
  </si>
  <si>
    <t>7.0</t>
  </si>
  <si>
    <t>8.0</t>
  </si>
  <si>
    <t>Username</t>
  </si>
  <si>
    <t>Password</t>
  </si>
  <si>
    <t>Role / Designation</t>
  </si>
  <si>
    <t>Access Level</t>
  </si>
  <si>
    <t>Allocations</t>
  </si>
  <si>
    <t>8.1</t>
  </si>
  <si>
    <t>Vote Number</t>
  </si>
  <si>
    <t>name</t>
  </si>
  <si>
    <t>title</t>
  </si>
  <si>
    <t>phone</t>
  </si>
  <si>
    <t>Admin@2026</t>
  </si>
  <si>
    <t>Super Admin</t>
  </si>
  <si>
    <t>All Management</t>
  </si>
  <si>
    <t>කහගල චන්දාලෝක හිමි</t>
  </si>
  <si>
    <t>සහකාර අධ්‍යක්‍ෂ</t>
  </si>
  <si>
    <t>8.2</t>
  </si>
  <si>
    <t>acc_chief</t>
  </si>
  <si>
    <t>Chief#Acc26</t>
  </si>
  <si>
    <t>Executive</t>
  </si>
  <si>
    <t>All</t>
  </si>
  <si>
    <t>8.3</t>
  </si>
  <si>
    <t>Financial Dashboard</t>
  </si>
  <si>
    <t>Thanuja Gammuduwathtage</t>
  </si>
  <si>
    <t>Cheif Accountant</t>
  </si>
  <si>
    <t>addl_sec</t>
  </si>
  <si>
    <t>SecAddl!26</t>
  </si>
  <si>
    <t>Overall AIP Progress</t>
  </si>
  <si>
    <t>K.C. Niroshan</t>
  </si>
  <si>
    <t>Add.Secratery</t>
  </si>
  <si>
    <t>071 339 5080</t>
  </si>
  <si>
    <t>dir_dev</t>
  </si>
  <si>
    <t>8.4</t>
  </si>
  <si>
    <t>DevDir@2026</t>
  </si>
  <si>
    <t>Capital/Recurrent Progress</t>
  </si>
  <si>
    <t>කර්නල් අනුර අබේවික්‍රම</t>
  </si>
  <si>
    <t>අධ්‍යක්ෂ (සංවර්ධන)</t>
  </si>
  <si>
    <t>dir_piriven</t>
  </si>
  <si>
    <t>PirDir#2026</t>
  </si>
  <si>
    <t>Overall Monitoring</t>
  </si>
  <si>
    <t>It_Media</t>
  </si>
  <si>
    <t>ItMe@2026</t>
  </si>
  <si>
    <t>8.5</t>
  </si>
  <si>
    <t>කැලේසියඹලාවේ නන්ද හිමි</t>
  </si>
  <si>
    <t>ස.ස.ගු</t>
  </si>
  <si>
    <t>dep_train</t>
  </si>
  <si>
    <t>TrainDep!26</t>
  </si>
  <si>
    <t>16.7, 16.9</t>
  </si>
  <si>
    <t>Training Progress</t>
  </si>
  <si>
    <t>dep_plan</t>
  </si>
  <si>
    <t>PlanDep#2026</t>
  </si>
  <si>
    <t>8.6</t>
  </si>
  <si>
    <t>16.1, 16.2, 16.3</t>
  </si>
  <si>
    <t>Planning Status</t>
  </si>
  <si>
    <t>acc_salary</t>
  </si>
  <si>
    <t>SalAcc#2026</t>
  </si>
  <si>
    <t>Subject Officer - Salary and Allowance</t>
  </si>
  <si>
    <t>1</t>
  </si>
  <si>
    <t>1001 / 1003 +2</t>
  </si>
  <si>
    <t>acc_domestic</t>
  </si>
  <si>
    <t>DomAcc!2026</t>
  </si>
  <si>
    <t>Subject Officer - Domestic</t>
  </si>
  <si>
    <t>8.7</t>
  </si>
  <si>
    <t>3</t>
  </si>
  <si>
    <t>1101 +2</t>
  </si>
  <si>
    <t>ට‍ෙ</t>
  </si>
  <si>
    <t>වෙ</t>
  </si>
  <si>
    <t>acc_misc</t>
  </si>
  <si>
    <t>MiscAcc@2026</t>
  </si>
  <si>
    <t>Subject Officer - Other Miscellanies</t>
  </si>
  <si>
    <t>8</t>
  </si>
  <si>
    <t>1409 +2</t>
  </si>
  <si>
    <t>acc_grant</t>
  </si>
  <si>
    <t>GrantAcc#26</t>
  </si>
  <si>
    <t>Subject Officer - Student Grant</t>
  </si>
  <si>
    <t>10</t>
  </si>
  <si>
    <t>8.8</t>
  </si>
  <si>
    <t>1508-021 +2</t>
  </si>
  <si>
    <t>acc_utility</t>
  </si>
  <si>
    <t>UtilAcc!2026</t>
  </si>
  <si>
    <t>Subject Officer - Electricity and Water</t>
  </si>
  <si>
    <t>7</t>
  </si>
  <si>
    <t>1403 +2</t>
  </si>
  <si>
    <t>acc_fuel</t>
  </si>
  <si>
    <t>FuelAcc@2026</t>
  </si>
  <si>
    <t>Subject Officer - Fuel (PEQI)</t>
  </si>
  <si>
    <t>5</t>
  </si>
  <si>
    <t>1202 +2</t>
  </si>
  <si>
    <t>acc_station</t>
  </si>
  <si>
    <t>StatAcc#2026</t>
  </si>
  <si>
    <t>Subject Officer - Stationary Requisites</t>
  </si>
  <si>
    <t>4.1, 4.2</t>
  </si>
  <si>
    <t>1201 +2</t>
  </si>
  <si>
    <t>acc_loan</t>
  </si>
  <si>
    <t>LoanAcc!2026</t>
  </si>
  <si>
    <t>Subject Officer - Property Loan Interest</t>
  </si>
  <si>
    <t>9</t>
  </si>
  <si>
    <t>1506 +2</t>
  </si>
  <si>
    <t>acc_procure</t>
  </si>
  <si>
    <t>ProcAcc@2026</t>
  </si>
  <si>
    <t>Subject Officer - Procurement (Capital)</t>
  </si>
  <si>
    <t>16.4, 16.5, 16.6, 16.8, 16.11</t>
  </si>
  <si>
    <t>2205 / 2102 +2</t>
  </si>
  <si>
    <t>acc_office</t>
  </si>
  <si>
    <t>OffAcc#2026</t>
  </si>
  <si>
    <t>Subject Officer - Office Equipment</t>
  </si>
  <si>
    <t>8.10</t>
  </si>
  <si>
    <t>16.10</t>
  </si>
  <si>
    <t>126-1-02-000-2102 +1</t>
  </si>
  <si>
    <t>admin_off1</t>
  </si>
  <si>
    <t>AdmOff1#26</t>
  </si>
  <si>
    <t>Subject Officer - Repair &amp; Maintenance - Office Equipment</t>
  </si>
  <si>
    <t>12.0</t>
  </si>
  <si>
    <t>admin_off2</t>
  </si>
  <si>
    <t>AdmOff2!26</t>
  </si>
  <si>
    <t>Subject Officer - Rehabilitation &amp; Improvement - Vehicles</t>
  </si>
  <si>
    <t>13</t>
  </si>
  <si>
    <t>8.11</t>
  </si>
  <si>
    <t>dev_do2</t>
  </si>
  <si>
    <t>DevDo1@2026</t>
  </si>
  <si>
    <t>Subject Officer - Renovation &amp; Infrastructure in Pirivenas</t>
  </si>
  <si>
    <t>16.1, 16.2</t>
  </si>
  <si>
    <t>8.12</t>
  </si>
  <si>
    <t>DevDo2#2026</t>
  </si>
  <si>
    <t>Subject Officer - PBPTDP Subject</t>
  </si>
  <si>
    <t xml:space="preserve">5, 16.7.31, 16.2, </t>
  </si>
  <si>
    <t>හර්ෂණී වරකාවත්ත</t>
  </si>
  <si>
    <t>සංවර්ධන නිලධාරී</t>
  </si>
  <si>
    <t>dev_do3</t>
  </si>
  <si>
    <t>DevDo3!2026</t>
  </si>
  <si>
    <t>Subject Officer - Training Institutes Infrastructure (Seethawaka/Veneamulla)</t>
  </si>
  <si>
    <t>16.3</t>
  </si>
  <si>
    <t>SinSub#26</t>
  </si>
  <si>
    <t>Subject Officer - Sinhala</t>
  </si>
  <si>
    <t>8.13</t>
  </si>
  <si>
    <t>Agreemant renewal</t>
  </si>
  <si>
    <t>Vindya Sewwandi</t>
  </si>
  <si>
    <t>DO</t>
  </si>
  <si>
    <t>sub_pali</t>
  </si>
  <si>
    <t>PalSub!26</t>
  </si>
  <si>
    <t>Subject Officer - Pali</t>
  </si>
  <si>
    <t>SanSub@26</t>
  </si>
  <si>
    <t>Subject Officer - Sanskrit</t>
  </si>
  <si>
    <t>Dilki Madushani</t>
  </si>
  <si>
    <t>TriSub#26</t>
  </si>
  <si>
    <t>Subject Officer - Tripitaka Dharma</t>
  </si>
  <si>
    <t>16.7.2, 16.7.18, 16.7.21, 16.7.19, 16.7.13, 16.7.4</t>
  </si>
  <si>
    <t>Budugala Jinawansa Tero</t>
  </si>
  <si>
    <t>sub_maths</t>
  </si>
  <si>
    <t>MatSub!26</t>
  </si>
  <si>
    <t>Subject Officer - Mathematics</t>
  </si>
  <si>
    <t>EngSub@26</t>
  </si>
  <si>
    <t>Subject Officer - English</t>
  </si>
  <si>
    <t>Sudarshani Wijesekara</t>
  </si>
  <si>
    <t>MSO</t>
  </si>
  <si>
    <t>sub_tamil</t>
  </si>
  <si>
    <t>TamSub#26</t>
  </si>
  <si>
    <t>Subject Officer - Tamil</t>
  </si>
  <si>
    <t>පස්සරමුල්ලේ දයාවංස හිමි</t>
  </si>
  <si>
    <t>සංවර්ධන නිලධාරි</t>
  </si>
  <si>
    <t>sub_socio</t>
  </si>
  <si>
    <t>SocSub!26</t>
  </si>
  <si>
    <t>Subject Officer - Sociology</t>
  </si>
  <si>
    <t>Anusha Jayasundara</t>
  </si>
  <si>
    <t>sub_history</t>
  </si>
  <si>
    <t>HisSub@26</t>
  </si>
  <si>
    <t>Capital</t>
  </si>
  <si>
    <t>Subject Officer - History</t>
  </si>
  <si>
    <t>sub_geo</t>
  </si>
  <si>
    <t>GeoSub#26</t>
  </si>
  <si>
    <t>Subject Officer - Geography</t>
  </si>
  <si>
    <t>sub_it</t>
  </si>
  <si>
    <t>ItSub!26</t>
  </si>
  <si>
    <t>Subject Officer - IT</t>
  </si>
  <si>
    <t>13.0</t>
  </si>
  <si>
    <t>sub_health</t>
  </si>
  <si>
    <t>HealSub@26</t>
  </si>
  <si>
    <t>Subject Officer - Health Science</t>
  </si>
  <si>
    <t>sub_gen_sci</t>
  </si>
  <si>
    <t>SciSub#26</t>
  </si>
  <si>
    <t>Subject Officer - General Science සාමාන්‍ය විද්‍යාව</t>
  </si>
  <si>
    <t>sub_drama</t>
  </si>
  <si>
    <t>DraSub!26</t>
  </si>
  <si>
    <t>Subject Officer - Drama and Theater</t>
  </si>
  <si>
    <t>13.1</t>
  </si>
  <si>
    <t>sub_arts</t>
  </si>
  <si>
    <t>ArtSub@26</t>
  </si>
  <si>
    <t>Subject Officer - Arts</t>
  </si>
  <si>
    <t>sub_dancing</t>
  </si>
  <si>
    <t>DanSub#26</t>
  </si>
  <si>
    <t>Subject Officer - Dancing</t>
  </si>
  <si>
    <t>sub_staff</t>
  </si>
  <si>
    <t>StaffSub!26</t>
  </si>
  <si>
    <t>Subject Officer - Staff Training</t>
  </si>
  <si>
    <t>14.0</t>
  </si>
  <si>
    <t>sub_sati</t>
  </si>
  <si>
    <t>SatiSub@26</t>
  </si>
  <si>
    <t>Subject Officer - Meditation &amp; Sati pasala සති පාසල</t>
  </si>
  <si>
    <t>sub_samanera</t>
  </si>
  <si>
    <t>SamanSub#26</t>
  </si>
  <si>
    <t>Subject Officer - Samanera Training සාමණේර පුහුණු</t>
  </si>
  <si>
    <t>sub_orient</t>
  </si>
  <si>
    <t>OriSub!26</t>
  </si>
  <si>
    <t>Subject Officer - Peradiga Sastra</t>
  </si>
  <si>
    <t>14.1</t>
  </si>
  <si>
    <t>sub_counsel</t>
  </si>
  <si>
    <t>CounSub@26</t>
  </si>
  <si>
    <t>Subject Officer - Meditation &amp; Counselling භාවනා හා උපදේශනය</t>
  </si>
  <si>
    <t>SubSeetha@26</t>
  </si>
  <si>
    <t xml:space="preserve">Subject Officer _ Seethawaka Teacher Training </t>
  </si>
  <si>
    <t>16.7.30, 16.3</t>
  </si>
  <si>
    <t>Nadeek</t>
  </si>
  <si>
    <t>dep_wp</t>
  </si>
  <si>
    <t>WP_Dep@26</t>
  </si>
  <si>
    <t>Deputy Director - Western Province</t>
  </si>
  <si>
    <t>16.9.1, 16.7.22</t>
  </si>
  <si>
    <t>14.2</t>
  </si>
  <si>
    <t>dep_cp</t>
  </si>
  <si>
    <t>CP_Dep#26</t>
  </si>
  <si>
    <t>Deputy Director - Central Province</t>
  </si>
  <si>
    <t>16.9.2, 16.7.23</t>
  </si>
  <si>
    <t>dep_sp</t>
  </si>
  <si>
    <t>SP_Dep!26</t>
  </si>
  <si>
    <t>Deputy Director - Southern Province</t>
  </si>
  <si>
    <t>16.9.3, 16.7.24</t>
  </si>
  <si>
    <t>15.0</t>
  </si>
  <si>
    <t>EP_Dep*26</t>
  </si>
  <si>
    <t>Deputy Director - Eastern Province</t>
  </si>
  <si>
    <t>16.9.4, 16.7.25</t>
  </si>
  <si>
    <t>මැදිරිගිරියේ විනීත හිමි</t>
  </si>
  <si>
    <t>නියෝජ්‍ය අධ්‍යක්ෂ</t>
  </si>
  <si>
    <t>NCP_Dep@26</t>
  </si>
  <si>
    <t>Deputy Director - North &amp; North Central</t>
  </si>
  <si>
    <t>16.9.5, 16.7.26</t>
  </si>
  <si>
    <t>එම්.ටී චතුර සඳරුවන් කුමාර</t>
  </si>
  <si>
    <t>සම්බන්ධීකරණ ගුරු උපදේශක</t>
  </si>
  <si>
    <t>15.1</t>
  </si>
  <si>
    <t>dep_nwp</t>
  </si>
  <si>
    <t>NWP_Dep#26</t>
  </si>
  <si>
    <t>Deputy Director - North Western</t>
  </si>
  <si>
    <t>16.9.6, 16.7.27</t>
  </si>
  <si>
    <t>dep_up</t>
  </si>
  <si>
    <t>UP_Dep!26</t>
  </si>
  <si>
    <t>Deputy Director - Uva Province</t>
  </si>
  <si>
    <t>16.9.7, 16.7.28</t>
  </si>
  <si>
    <t>dep_sgp</t>
  </si>
  <si>
    <t>SGP_Dep*26</t>
  </si>
  <si>
    <t>Deputy Director - Sabaragamuwa</t>
  </si>
  <si>
    <t>16.9.8, 16.7.29</t>
  </si>
  <si>
    <t>කන්තලේ විජිතවංස හිමි</t>
  </si>
  <si>
    <t>නියෝජ්‍ය අධ්‍යාපන අධ්‍යක්ෂ</t>
  </si>
  <si>
    <t>15.2</t>
  </si>
  <si>
    <t>WP_Off@2026</t>
  </si>
  <si>
    <t xml:space="preserve">Subject Officer - western Provincial </t>
  </si>
  <si>
    <t>එච්.එම්.උපතිස්ස</t>
  </si>
  <si>
    <t>සම්බන්ධිකරණ ගුරු උපදේශක</t>
  </si>
  <si>
    <t>off_cp</t>
  </si>
  <si>
    <t>CP_Off#2026</t>
  </si>
  <si>
    <t xml:space="preserve">Subject Officer - Central Provincial </t>
  </si>
  <si>
    <t>කිරිදිගල්ලේ ඤාණරතන හිමි</t>
  </si>
  <si>
    <t>15.3</t>
  </si>
  <si>
    <t>off_sp</t>
  </si>
  <si>
    <t>SP_Off!2026</t>
  </si>
  <si>
    <t>Subject Officer - Southern Provincial</t>
  </si>
  <si>
    <t>EP_Off*2026</t>
  </si>
  <si>
    <t xml:space="preserve">Subject Officer - Eastern Provincial </t>
  </si>
  <si>
    <t>හෙට්ටිආරච්චගේ චාමර චතුරංග ඒකනායක</t>
  </si>
  <si>
    <t>16.0</t>
  </si>
  <si>
    <t>off_ncp</t>
  </si>
  <si>
    <t>NCP_Off@2026</t>
  </si>
  <si>
    <t xml:space="preserve">Subject Officer - North Central Provincial </t>
  </si>
  <si>
    <t>මාවතවැවේ රතනවංශ හිමි</t>
  </si>
  <si>
    <t>නි.අ.අ(උතුරු මැද පළාත)</t>
  </si>
  <si>
    <t>off_nwp</t>
  </si>
  <si>
    <t>NWP_Off#2026</t>
  </si>
  <si>
    <t xml:space="preserve">Subject Officer - North western Provincial </t>
  </si>
  <si>
    <t>UP_Off!2026</t>
  </si>
  <si>
    <t>16.1</t>
  </si>
  <si>
    <t xml:space="preserve">Subject Officer - Uva Provincial </t>
  </si>
  <si>
    <t>මාපාකඩ පේමරතන හිමි</t>
  </si>
  <si>
    <t>SGP_Off*2026</t>
  </si>
  <si>
    <t xml:space="preserve">Subject Officer - Sabaragamu Provincial </t>
  </si>
  <si>
    <t>ගනෙහි ආච්චිලාගේ ඉසුරු නිරංජන් තිලකරත්න</t>
  </si>
  <si>
    <t>16.2</t>
  </si>
  <si>
    <t>16.4</t>
  </si>
  <si>
    <t>16.5</t>
  </si>
  <si>
    <t>16.6</t>
  </si>
  <si>
    <t>16.11</t>
  </si>
  <si>
    <t>16.7</t>
  </si>
  <si>
    <t>Meditation and Counselling භාවනා හා උපදේශනය</t>
  </si>
  <si>
    <t>10-day residential training program for newly recruited Pirivena teachers - Seethawaka Teacher Training Institute</t>
  </si>
  <si>
    <t xml:space="preserve">Pirivena Base Proffesional Teacher Development Programe (PBPTDP) </t>
  </si>
  <si>
    <t>16.8</t>
  </si>
  <si>
    <t>16.9</t>
  </si>
  <si>
    <t>Western Province - Sasunodaya Samanera Attitude Development Program.</t>
  </si>
  <si>
    <t>Central Province - Sasunodaya Samanera Attitude Development Program.</t>
  </si>
  <si>
    <t>Southern Province - Sasunodaya Samanera Attitude Development Program.</t>
  </si>
  <si>
    <t>Eastern Province - Sasunodaya Samanera Attitude Development Program.</t>
  </si>
  <si>
    <t>North &amp; North Central Province - Sasunodaya Samanera Attitude Development Program.</t>
  </si>
  <si>
    <t>North Western Province - Sasunodaya Samanera Attitude Development Program.</t>
  </si>
  <si>
    <t>Uva Province -Sasunodaya Samanera Attitude Development Program.</t>
  </si>
  <si>
    <t>Sabaragamuwa Province - Sasunodaya Samanera Attitude Development Program.</t>
  </si>
  <si>
    <t>17</t>
  </si>
  <si>
    <t>17.1</t>
  </si>
  <si>
    <t>අංශය / විෂය (A)</t>
  </si>
  <si>
    <t>වෙන් කළ මුදල (B)</t>
  </si>
  <si>
    <t>සත්‍ය වියදම (C)</t>
  </si>
  <si>
    <t>ඉතිරි මුදල (D)</t>
  </si>
  <si>
    <t>ප්‍රගතිය % (E)</t>
  </si>
  <si>
    <t>Sasunodaya - Western Province</t>
  </si>
  <si>
    <t>Sasunodaya - Central Province</t>
  </si>
  <si>
    <t>Sasunodaya -Southern Province</t>
  </si>
  <si>
    <t>Sasunodaya - Eastern Province</t>
  </si>
  <si>
    <t>Sasunodaya- North &amp; North Central Province</t>
  </si>
  <si>
    <t>Sasunodaya- North Western Province</t>
  </si>
  <si>
    <t>Sasunodaya- Uva Province</t>
  </si>
  <si>
    <t>Sasunodaya Sabaragamuwa Province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</si>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</sst>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m/d/yyyy h:mm:ss"/>
    <numFmt numFmtId="166" formatCode="yyyy-mm-dd"/>
    <numFmt numFmtId="167" formatCode="mm dd"/>
    <numFmt numFmtId="168" formatCode="#,##0;(#,##0)"/>
  </numFmts>
  <fonts count="20">
    <font>
      <sz val="10.0"/>
      <color rgb="FF000000"/>
      <name val="Arial"/>
      <scheme val="minor"/>
    </font>
    <font>
      <b/>
      <sz val="11.0"/>
      <color rgb="FF000000"/>
      <name val="&quot;Iskoola Pota&quot;"/>
    </font>
    <font>
      <b/>
      <color theme="1"/>
      <name val="Arial"/>
      <scheme val="minor"/>
    </font>
    <font>
      <color theme="1"/>
      <name val="Arial"/>
    </font>
    <font/>
    <font>
      <b/>
      <color rgb="FF000000"/>
      <name val="&quot;Iskoola Pota&quot;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&quot;Iskoola Pota&quot;"/>
    </font>
    <font>
      <b/>
      <sz val="11.0"/>
      <color theme="1"/>
      <name val="&quot;Segoe UI&quot;"/>
    </font>
    <font>
      <b/>
      <sz val="13.0"/>
      <color theme="1"/>
      <name val="&quot;Segoe UI&quot;"/>
    </font>
    <font>
      <b/>
      <sz val="12.0"/>
      <color rgb="FF000000"/>
      <name val="&quot;Iskoola Pota&quot;"/>
    </font>
    <font>
      <sz val="11.0"/>
      <color rgb="FF808080"/>
      <name val="&quot;Iskoola Pota&quot;"/>
    </font>
    <font>
      <b/>
      <sz val="11.0"/>
      <color theme="1"/>
      <name val="&quot;Iskoola Pota&quot;"/>
    </font>
    <font>
      <sz val="12.0"/>
      <color rgb="FF000000"/>
      <name val="&quot;Iskoola Pota&quot;"/>
    </font>
    <font>
      <b/>
      <sz val="11.0"/>
      <color theme="1"/>
      <name val="Arial"/>
    </font>
    <font>
      <sz val="12.0"/>
      <color theme="1"/>
      <name val="Calibri"/>
    </font>
    <font>
      <b/>
      <sz val="15.0"/>
      <color theme="1"/>
      <name val="&quot;Segoe UI&quot;"/>
    </font>
    <font>
      <color rgb="FF000000"/>
      <name val="&quot;Iskoola Pota&quot;"/>
    </font>
    <font>
      <color theme="1"/>
      <name val="&quot;Segoe UI&quot;"/>
    </font>
  </fonts>
  <fills count="5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readingOrder="0" vertical="bottom"/>
    </xf>
    <xf borderId="2" fillId="0" fontId="1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3" fillId="0" fontId="4" numFmtId="0" xfId="0" applyBorder="1" applyFont="1"/>
    <xf borderId="0" fillId="0" fontId="3" numFmtId="0" xfId="0" applyAlignment="1" applyFont="1">
      <alignment readingOrder="0" vertical="bottom"/>
    </xf>
    <xf borderId="0" fillId="2" fontId="2" numFmtId="0" xfId="0" applyFill="1" applyFont="1"/>
    <xf borderId="1" fillId="0" fontId="5" numFmtId="0" xfId="0" applyAlignment="1" applyBorder="1" applyFont="1">
      <alignment horizontal="center" readingOrder="0"/>
    </xf>
    <xf borderId="0" fillId="0" fontId="3" numFmtId="3" xfId="0" applyAlignment="1" applyFont="1" applyNumberForma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6" numFmtId="165" xfId="0" applyAlignment="1" applyFont="1" applyNumberFormat="1">
      <alignment readingOrder="0"/>
    </xf>
    <xf borderId="0" fillId="2" fontId="2" numFmtId="49" xfId="0" applyAlignment="1" applyFill="1" applyFont="1" applyNumberFormat="1">
      <alignment readingOrder="0"/>
    </xf>
    <xf borderId="4" fillId="3" fontId="7" numFmtId="0" xfId="0" applyAlignment="1" applyBorder="1" applyFill="1" applyFont="1">
      <alignment horizontal="right" vertical="bottom"/>
    </xf>
    <xf borderId="0" fillId="0" fontId="6" numFmtId="0" xfId="0" applyAlignment="1" applyFont="1">
      <alignment readingOrder="0"/>
    </xf>
    <xf borderId="0" fillId="2" fontId="2" numFmtId="4" xfId="0" applyAlignment="1" applyFill="1" applyFont="1" applyNumberFormat="1">
      <alignment readingOrder="0"/>
    </xf>
    <xf borderId="0" fillId="0" fontId="6" numFmtId="166" xfId="0" applyAlignment="1" applyFont="1" applyNumberFormat="1">
      <alignment readingOrder="0"/>
    </xf>
    <xf borderId="4" fillId="0" fontId="8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 vertical="top"/>
    </xf>
    <xf borderId="0" fillId="0" fontId="10" numFmtId="3" xfId="0" applyAlignment="1" applyFont="1" applyNumberFormat="1">
      <alignment horizontal="right" readingOrder="0" vertical="top"/>
    </xf>
    <xf borderId="5" fillId="0" fontId="11" numFmtId="0" xfId="0" applyAlignment="1" applyBorder="1" applyFont="1">
      <alignment horizontal="left" readingOrder="0" shrinkToFit="0" wrapText="0"/>
    </xf>
    <xf borderId="1" fillId="4" fontId="12" numFmtId="0" xfId="0" applyAlignment="1" applyBorder="1" applyFill="1" applyFont="1">
      <alignment shrinkToFit="0" wrapText="0"/>
    </xf>
    <xf borderId="0" fillId="0" fontId="6" numFmtId="49" xfId="0" applyAlignment="1" applyFont="1" applyNumberFormat="1">
      <alignment readingOrder="0"/>
    </xf>
    <xf borderId="1" fillId="0" fontId="13" numFmtId="0" xfId="0" applyAlignment="1" applyBorder="1" applyFont="1">
      <alignment horizontal="right" readingOrder="0" shrinkToFit="0" wrapText="0"/>
    </xf>
    <xf borderId="6" fillId="0" fontId="4" numFmtId="0" xfId="0" applyBorder="1" applyFont="1"/>
    <xf borderId="1" fillId="0" fontId="8" numFmtId="0" xfId="0" applyAlignment="1" applyBorder="1" applyFont="1">
      <alignment horizontal="center" readingOrder="0" shrinkToFit="0" wrapText="0"/>
    </xf>
    <xf borderId="0" fillId="0" fontId="6" numFmtId="4" xfId="0" applyAlignment="1" applyFont="1" applyNumberFormat="1">
      <alignment readingOrder="0"/>
    </xf>
    <xf borderId="6" fillId="4" fontId="7" numFmtId="0" xfId="0" applyAlignment="1" applyBorder="1" applyFill="1" applyFont="1">
      <alignment horizontal="right" vertical="bottom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right" readingOrder="0" shrinkToFit="0" wrapText="0"/>
    </xf>
    <xf borderId="0" fillId="0" fontId="6" numFmtId="167" xfId="0" applyAlignment="1" applyFont="1" applyNumberFormat="1">
      <alignment readingOrder="0"/>
    </xf>
    <xf borderId="1" fillId="4" fontId="1" numFmtId="0" xfId="0" applyAlignment="1" applyBorder="1" applyFill="1" applyFont="1">
      <alignment shrinkToFit="0" wrapText="0"/>
    </xf>
    <xf borderId="7" fillId="0" fontId="4" numFmtId="0" xfId="0" applyBorder="1" applyFont="1"/>
    <xf borderId="2" fillId="0" fontId="11" numFmtId="0" xfId="0" applyAlignment="1" applyBorder="1" applyFont="1">
      <alignment horizontal="left" readingOrder="0"/>
    </xf>
    <xf borderId="6" fillId="3" fontId="7" numFmtId="0" xfId="0" applyAlignment="1" applyBorder="1" applyFill="1" applyFont="1">
      <alignment horizontal="right" vertical="bottom"/>
    </xf>
    <xf borderId="1" fillId="0" fontId="1" numFmtId="0" xfId="0" applyAlignment="1" applyBorder="1" applyFont="1">
      <alignment horizontal="right" readingOrder="0" shrinkToFit="0" wrapText="0"/>
    </xf>
    <xf borderId="4" fillId="3" fontId="7" numFmtId="0" xfId="0" applyAlignment="1" applyBorder="1" applyFill="1" applyFont="1">
      <alignment horizontal="right" readingOrder="0" vertical="bottom"/>
    </xf>
    <xf borderId="1" fillId="0" fontId="8" numFmtId="4" xfId="0" applyAlignment="1" applyBorder="1" applyFont="1" applyNumberFormat="1">
      <alignment horizontal="right" readingOrder="0" shrinkToFit="0" wrapText="0"/>
    </xf>
    <xf borderId="4" fillId="0" fontId="7" numFmtId="0" xfId="0" applyAlignment="1" applyBorder="1" applyFont="1">
      <alignment horizontal="right" vertical="bottom"/>
    </xf>
    <xf borderId="6" fillId="0" fontId="8" numFmtId="0" xfId="0" applyAlignment="1" applyBorder="1" applyFont="1">
      <alignment horizontal="center" readingOrder="0" shrinkToFit="0" wrapText="0"/>
    </xf>
    <xf borderId="0" fillId="0" fontId="9" numFmtId="3" xfId="0" applyAlignment="1" applyFont="1" applyNumberFormat="1">
      <alignment horizontal="right" readingOrder="0" vertical="top"/>
    </xf>
    <xf borderId="5" fillId="0" fontId="11" numFmtId="0" xfId="0" applyAlignment="1" applyBorder="1" applyFont="1">
      <alignment horizontal="left" readingOrder="0"/>
    </xf>
    <xf borderId="5" fillId="0" fontId="4" numFmtId="0" xfId="0" applyBorder="1" applyFont="1"/>
    <xf borderId="1" fillId="0" fontId="14" numFmtId="0" xfId="0" applyAlignment="1" applyBorder="1" applyFont="1">
      <alignment horizontal="center" readingOrder="0"/>
    </xf>
    <xf borderId="0" fillId="0" fontId="6" numFmtId="0" xfId="0" applyFont="1"/>
    <xf borderId="8" fillId="0" fontId="14" numFmtId="0" xfId="0" applyAlignment="1" applyBorder="1" applyFont="1">
      <alignment horizontal="left" readingOrder="0"/>
    </xf>
    <xf borderId="8" fillId="0" fontId="8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horizontal="right" shrinkToFit="0" wrapText="0"/>
    </xf>
    <xf borderId="1" fillId="4" fontId="1" numFmtId="0" xfId="0" applyAlignment="1" applyBorder="1" applyFill="1" applyFont="1">
      <alignment horizontal="right" readingOrder="0" shrinkToFit="0" wrapText="0"/>
    </xf>
    <xf borderId="1" fillId="0" fontId="8" numFmtId="0" xfId="0" applyAlignment="1" applyBorder="1" applyFont="1">
      <alignment horizontal="right" readingOrder="0"/>
    </xf>
    <xf borderId="1" fillId="0" fontId="8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right" shrinkToFit="0" wrapText="0"/>
    </xf>
    <xf borderId="1" fillId="0" fontId="8" numFmtId="0" xfId="0" applyAlignment="1" applyBorder="1" applyFont="1">
      <alignment horizontal="left" readingOrder="0" shrinkToFit="0" wrapText="0"/>
    </xf>
    <xf borderId="4" fillId="4" fontId="1" numFmtId="0" xfId="0" applyAlignment="1" applyBorder="1" applyFill="1" applyFont="1">
      <alignment horizontal="right" shrinkToFit="0" wrapText="0"/>
    </xf>
    <xf borderId="0" fillId="0" fontId="15" numFmtId="0" xfId="0" applyAlignment="1" applyFont="1">
      <alignment readingOrder="0" vertical="top"/>
    </xf>
    <xf borderId="0" fillId="0" fontId="6" numFmtId="49" xfId="0" applyFont="1" applyNumberFormat="1"/>
    <xf borderId="0" fillId="0" fontId="6" numFmtId="4" xfId="0" applyFont="1" applyNumberFormat="1"/>
    <xf borderId="6" fillId="3" fontId="16" numFmtId="0" xfId="0" applyAlignment="1" applyBorder="1" applyFill="1" applyFont="1">
      <alignment horizontal="right" vertical="bottom"/>
    </xf>
    <xf borderId="0" fillId="0" fontId="17" numFmtId="3" xfId="0" applyAlignment="1" applyFont="1" applyNumberFormat="1">
      <alignment horizontal="right" readingOrder="0" vertical="top"/>
    </xf>
    <xf borderId="1" fillId="0" fontId="18" numFmtId="0" xfId="0" applyAlignment="1" applyBorder="1" applyFont="1">
      <alignment horizontal="left" readingOrder="0"/>
    </xf>
    <xf borderId="6" fillId="3" fontId="7" numFmtId="0" xfId="0" applyAlignment="1" applyBorder="1" applyFill="1" applyFont="1">
      <alignment horizontal="right" readingOrder="0" vertical="bottom"/>
    </xf>
    <xf borderId="6" fillId="0" fontId="7" numFmtId="0" xfId="0" applyAlignment="1" applyBorder="1" applyFont="1">
      <alignment horizontal="right" readingOrder="0" vertical="bottom"/>
    </xf>
    <xf borderId="4" fillId="0" fontId="7" numFmtId="0" xfId="0" applyAlignment="1" applyBorder="1" applyFont="1">
      <alignment horizontal="right" readingOrder="0" vertical="bottom"/>
    </xf>
    <xf borderId="6" fillId="0" fontId="7" numFmtId="0" xfId="0" applyAlignment="1" applyBorder="1" applyFont="1">
      <alignment horizontal="right" vertical="bottom"/>
    </xf>
    <xf borderId="0" fillId="0" fontId="19" numFmtId="0" xfId="0" applyAlignment="1" applyFont="1">
      <alignment readingOrder="0" vertical="bottom"/>
    </xf>
    <xf borderId="0" fillId="0" fontId="19" numFmtId="3" xfId="0" applyAlignment="1" applyFont="1" applyNumberFormat="1">
      <alignment horizontal="right" readingOrder="0"/>
    </xf>
    <xf borderId="1" fillId="0" fontId="14" numFmtId="0" xfId="0" applyAlignment="1" applyBorder="1" applyFont="1">
      <alignment horizontal="center" readingOrder="0" shrinkToFit="0" wrapText="0"/>
    </xf>
    <xf borderId="1" fillId="4" fontId="8" numFmtId="0" xfId="0" applyAlignment="1" applyBorder="1" applyFill="1" applyFont="1">
      <alignment horizontal="right" readingOrder="0" shrinkToFit="0" wrapText="0"/>
    </xf>
    <xf borderId="1" fillId="4" fontId="8" numFmtId="0" xfId="0" applyAlignment="1" applyBorder="1" applyFill="1" applyFont="1">
      <alignment horizontal="center" readingOrder="0" shrinkToFit="0" wrapText="0"/>
    </xf>
    <xf borderId="5" fillId="0" fontId="8" numFmtId="0" xfId="0" applyAlignment="1" applyBorder="1" applyFont="1">
      <alignment horizontal="left" readingOrder="0"/>
    </xf>
    <xf borderId="8" fillId="0" fontId="8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6" fillId="0" fontId="7" numFmtId="2" xfId="0" applyAlignment="1" applyBorder="1" applyFont="1" applyNumberFormat="1">
      <alignment horizontal="right" readingOrder="0" vertical="bottom"/>
    </xf>
    <xf borderId="5" fillId="0" fontId="1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right" readingOrder="0" shrinkToFit="0" wrapText="0"/>
    </xf>
    <xf borderId="0" fillId="0" fontId="6" numFmtId="0" xfId="0" applyAlignment="1" applyFont="1">
      <alignment horizontal="right"/>
    </xf>
    <xf borderId="0" fillId="0" fontId="6" numFmtId="3" xfId="0" applyFont="1" applyNumberFormat="1"/>
    <xf borderId="0" fillId="0" fontId="6" numFmtId="164" xfId="0" applyFont="1" applyNumberFormat="1"/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6" numFmtId="168" xfId="0" applyAlignment="1" applyFont="1" applyNumberFormat="1">
      <alignment readingOrder="0"/>
    </xf>
    <xf borderId="0" fillId="0" fontId="3" numFmtId="3" xfId="0" applyAlignment="1" applyFont="1" applyNumberFormat="1">
      <alignment vertical="bottom"/>
    </xf>
    <xf borderId="0" fillId="0" fontId="3" numFmtId="168" xfId="0" applyAlignment="1" applyFont="1" applyNumberFormat="1">
      <alignment vertical="bottom"/>
    </xf>
    <xf borderId="0" fillId="0" fontId="3" numFmtId="49" xfId="0" applyAlignment="1" applyFont="1" applyNumberFormat="1">
      <alignment horizontal="right" readingOrder="0" vertical="bottom"/>
    </xf>
    <xf borderId="0" fillId="0" fontId="3" numFmtId="168" xfId="0" applyAlignment="1" applyFont="1" applyNumberFormat="1">
      <alignment horizontal="right" readingOrder="0" vertical="bottom"/>
    </xf>
    <xf borderId="4" fillId="0" fontId="7" numFmtId="49" xfId="0" applyAlignment="1" applyBorder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6" fillId="0" fontId="7" numFmtId="49" xfId="0" applyAlignment="1" applyBorder="1" applyFont="1" applyNumberFormat="1">
      <alignment horizontal="right" readingOrder="0" vertical="bottom"/>
    </xf>
    <xf borderId="0" fillId="0" fontId="15" numFmtId="3" xfId="0" applyAlignment="1" applyFont="1" applyNumberFormat="1">
      <alignment horizontal="right" readingOrder="0" vertical="top"/>
    </xf>
    <xf borderId="0" fillId="0" fontId="3" numFmtId="0" xfId="0" applyAlignment="1" applyFont="1">
      <alignment horizontal="left" vertical="bottom"/>
    </xf>
    <xf borderId="0" fillId="0" fontId="6" numFmtId="168" xfId="0" applyFont="1" applyNumberFormat="1"/>
    <xf borderId="0" fillId="0" fontId="6" numFmtId="0" xfId="0" applyFont="1"/>
    <xf borderId="0" fillId="0" fontId="3" numFmtId="3" xfId="0" applyAlignment="1" applyFont="1" applyNumberFormat="1">
      <alignment horizontal="right" readingOrder="0"/>
    </xf>
    <xf borderId="0" fillId="0" fontId="6" numFmtId="49" xfId="0" applyAlignment="1" applyFont="1" applyNumberFormat="1">
      <alignment horizontal="left" readingOrder="0"/>
    </xf>
    <xf borderId="0" fillId="0" fontId="3" numFmtId="2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6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3" max="3" width="107.0"/>
    <col customWidth="1" min="4" max="4" width="16.0"/>
    <col customWidth="1" min="5" max="5" width="15.88"/>
    <col customWidth="1" min="6" max="6" width="10.88"/>
    <col customWidth="1" min="7" max="7" width="19.0"/>
    <col customWidth="1" min="8" max="8" width="10.75"/>
  </cols>
  <sheetData>
    <row r="1">
      <c r="A1" s="1" t="s">
        <v>0</v>
      </c>
      <c r="B1" s="4" t="s">
        <v>3</v>
      </c>
      <c r="C1" s="6"/>
      <c r="D1" s="9" t="s">
        <v>14</v>
      </c>
      <c r="E1" s="9" t="s">
        <v>16</v>
      </c>
      <c r="F1" s="9" t="s">
        <v>17</v>
      </c>
      <c r="G1" s="9" t="s">
        <v>19</v>
      </c>
      <c r="H1" s="1" t="s">
        <v>20</v>
      </c>
    </row>
    <row r="2">
      <c r="A2" s="18">
        <v>1.0</v>
      </c>
      <c r="B2" s="22" t="s">
        <v>32</v>
      </c>
      <c r="C2" s="6"/>
      <c r="D2" s="23"/>
      <c r="E2" s="23"/>
      <c r="F2" s="23"/>
      <c r="G2" s="23"/>
      <c r="H2" s="25">
        <v>0.0</v>
      </c>
    </row>
    <row r="3">
      <c r="A3" s="26"/>
      <c r="B3" s="27" t="s">
        <v>52</v>
      </c>
      <c r="C3" s="30" t="s">
        <v>53</v>
      </c>
      <c r="D3" s="31">
        <v>500.0</v>
      </c>
      <c r="E3" s="27">
        <v>0.0</v>
      </c>
      <c r="F3" s="27">
        <v>0.0</v>
      </c>
      <c r="G3" s="31">
        <v>0.0</v>
      </c>
      <c r="H3" s="33"/>
    </row>
    <row r="4">
      <c r="A4" s="34"/>
      <c r="B4" s="27" t="s">
        <v>63</v>
      </c>
      <c r="C4" s="30" t="s">
        <v>65</v>
      </c>
      <c r="D4" s="31">
        <v>400.0</v>
      </c>
      <c r="E4" s="27">
        <v>0.0</v>
      </c>
      <c r="F4" s="27">
        <v>0.0</v>
      </c>
      <c r="G4" s="31">
        <v>0.0</v>
      </c>
      <c r="H4" s="33"/>
    </row>
    <row r="5">
      <c r="A5" s="27">
        <v>2.0</v>
      </c>
      <c r="B5" s="35" t="s">
        <v>68</v>
      </c>
      <c r="C5" s="6"/>
      <c r="D5" s="31">
        <v>500.0</v>
      </c>
      <c r="E5" s="27">
        <v>0.0</v>
      </c>
      <c r="F5" s="27">
        <v>0.0</v>
      </c>
      <c r="G5" s="31">
        <v>0.0</v>
      </c>
      <c r="H5" s="37">
        <v>0.0</v>
      </c>
    </row>
    <row r="6">
      <c r="A6" s="27">
        <v>3.0</v>
      </c>
      <c r="B6" s="35" t="s">
        <v>75</v>
      </c>
      <c r="C6" s="6"/>
      <c r="D6" s="31">
        <v>600.0</v>
      </c>
      <c r="E6" s="27">
        <v>0.0</v>
      </c>
      <c r="F6" s="27">
        <v>0.0</v>
      </c>
      <c r="G6" s="31">
        <v>0.0</v>
      </c>
      <c r="H6" s="37">
        <v>0.0</v>
      </c>
    </row>
    <row r="7">
      <c r="A7" s="27">
        <v>4.0</v>
      </c>
      <c r="B7" s="35" t="s">
        <v>79</v>
      </c>
      <c r="C7" s="6"/>
      <c r="D7" s="39">
        <v>45000.0</v>
      </c>
      <c r="E7" s="27">
        <v>0.0</v>
      </c>
      <c r="F7" s="27" t="s">
        <v>86</v>
      </c>
      <c r="G7" s="31">
        <v>0.0</v>
      </c>
      <c r="H7" s="37">
        <v>0.0</v>
      </c>
    </row>
    <row r="8">
      <c r="A8" s="41">
        <v>5.0</v>
      </c>
      <c r="B8" s="43" t="s">
        <v>89</v>
      </c>
      <c r="C8" s="44"/>
      <c r="D8" s="44"/>
      <c r="E8" s="44"/>
      <c r="F8" s="44"/>
      <c r="G8" s="6"/>
      <c r="H8" s="37">
        <v>0.0</v>
      </c>
    </row>
    <row r="9">
      <c r="A9" s="26"/>
      <c r="B9" s="45" t="s">
        <v>52</v>
      </c>
      <c r="C9" s="47" t="s">
        <v>96</v>
      </c>
      <c r="D9" s="48">
        <v>600.0</v>
      </c>
      <c r="E9" s="27">
        <v>0.0</v>
      </c>
      <c r="F9" s="27">
        <v>0.0</v>
      </c>
      <c r="G9" s="31">
        <v>0.0</v>
      </c>
      <c r="H9" s="49"/>
    </row>
    <row r="10">
      <c r="A10" s="18">
        <v>6.0</v>
      </c>
      <c r="B10" s="43" t="s">
        <v>108</v>
      </c>
      <c r="C10" s="44"/>
      <c r="D10" s="44"/>
      <c r="E10" s="44"/>
      <c r="F10" s="44"/>
      <c r="G10" s="6"/>
      <c r="H10" s="50">
        <v>0.0</v>
      </c>
    </row>
    <row r="11">
      <c r="A11" s="26"/>
      <c r="B11" s="45" t="s">
        <v>52</v>
      </c>
      <c r="C11" s="30" t="s">
        <v>116</v>
      </c>
      <c r="D11" s="51">
        <v>350.0</v>
      </c>
      <c r="E11" s="52">
        <v>0.0</v>
      </c>
      <c r="F11" s="52">
        <v>0.0</v>
      </c>
      <c r="G11" s="51">
        <v>0.0</v>
      </c>
      <c r="H11" s="53"/>
    </row>
    <row r="12">
      <c r="A12" s="26"/>
      <c r="B12" s="45" t="s">
        <v>63</v>
      </c>
      <c r="C12" s="30" t="s">
        <v>126</v>
      </c>
      <c r="D12" s="51">
        <v>350.0</v>
      </c>
      <c r="E12" s="52">
        <v>0.0</v>
      </c>
      <c r="F12" s="52">
        <v>0.0</v>
      </c>
      <c r="G12" s="51">
        <v>0.0</v>
      </c>
      <c r="H12" s="53"/>
    </row>
    <row r="13">
      <c r="A13" s="26"/>
      <c r="B13" s="27" t="s">
        <v>131</v>
      </c>
      <c r="C13" s="54" t="s">
        <v>133</v>
      </c>
      <c r="D13" s="39">
        <v>3250.0</v>
      </c>
      <c r="E13" s="27">
        <v>0.0</v>
      </c>
      <c r="F13" s="27">
        <v>0.0</v>
      </c>
      <c r="G13" s="31">
        <v>0.0</v>
      </c>
      <c r="H13" s="55"/>
    </row>
    <row r="14">
      <c r="A14" s="26"/>
      <c r="B14" s="27" t="s">
        <v>143</v>
      </c>
      <c r="C14" s="54" t="s">
        <v>145</v>
      </c>
      <c r="D14" s="39">
        <v>3000.0</v>
      </c>
      <c r="E14" s="27">
        <v>0.0</v>
      </c>
      <c r="F14" s="27">
        <v>0.0</v>
      </c>
      <c r="G14" s="31">
        <v>0.0</v>
      </c>
      <c r="H14" s="26"/>
    </row>
    <row r="15">
      <c r="A15" s="34"/>
      <c r="B15" s="27" t="s">
        <v>148</v>
      </c>
      <c r="C15" s="54" t="s">
        <v>149</v>
      </c>
      <c r="D15" s="39">
        <v>2700.0</v>
      </c>
      <c r="E15" s="27">
        <v>0.0</v>
      </c>
      <c r="F15" s="27">
        <v>0.0</v>
      </c>
      <c r="G15" s="31">
        <v>0.0</v>
      </c>
      <c r="H15" s="34"/>
    </row>
    <row r="16">
      <c r="A16" s="41">
        <v>7.0</v>
      </c>
      <c r="B16" s="43" t="s">
        <v>155</v>
      </c>
      <c r="C16" s="44"/>
      <c r="D16" s="44"/>
      <c r="E16" s="44"/>
      <c r="F16" s="44"/>
      <c r="G16" s="6"/>
      <c r="H16" s="50">
        <v>0.0</v>
      </c>
    </row>
    <row r="17">
      <c r="A17" s="26"/>
      <c r="B17" s="41" t="s">
        <v>52</v>
      </c>
      <c r="C17" s="61" t="s">
        <v>163</v>
      </c>
      <c r="D17" s="39">
        <v>2400.0</v>
      </c>
      <c r="E17" s="27">
        <v>0.0</v>
      </c>
      <c r="F17" s="27">
        <v>0.0</v>
      </c>
      <c r="G17" s="31">
        <v>0.0</v>
      </c>
      <c r="H17" s="53"/>
    </row>
    <row r="18">
      <c r="A18" s="26"/>
      <c r="B18" s="26"/>
      <c r="C18" s="61" t="s">
        <v>165</v>
      </c>
      <c r="D18" s="39">
        <v>2400.0</v>
      </c>
      <c r="E18" s="27">
        <v>0.0</v>
      </c>
      <c r="F18" s="27">
        <v>0.0</v>
      </c>
      <c r="G18" s="31">
        <v>0.0</v>
      </c>
      <c r="H18" s="53"/>
    </row>
    <row r="19">
      <c r="A19" s="26"/>
      <c r="B19" s="34"/>
      <c r="C19" s="61" t="s">
        <v>169</v>
      </c>
      <c r="D19" s="39">
        <v>2400.0</v>
      </c>
      <c r="E19" s="27">
        <v>0.0</v>
      </c>
      <c r="F19" s="27">
        <v>0.0</v>
      </c>
      <c r="G19" s="31">
        <v>0.0</v>
      </c>
      <c r="H19" s="53"/>
    </row>
    <row r="20">
      <c r="A20" s="26"/>
      <c r="B20" s="41" t="s">
        <v>63</v>
      </c>
      <c r="C20" s="61" t="s">
        <v>172</v>
      </c>
      <c r="D20" s="39">
        <v>2000.0</v>
      </c>
      <c r="E20" s="27">
        <v>0.0</v>
      </c>
      <c r="F20" s="27">
        <v>0.0</v>
      </c>
      <c r="G20" s="31">
        <v>0.0</v>
      </c>
      <c r="H20" s="53"/>
    </row>
    <row r="21">
      <c r="A21" s="26"/>
      <c r="B21" s="26"/>
      <c r="C21" s="61" t="s">
        <v>175</v>
      </c>
      <c r="D21" s="39">
        <v>2000.0</v>
      </c>
      <c r="E21" s="27">
        <v>0.0</v>
      </c>
      <c r="F21" s="27">
        <v>0.0</v>
      </c>
      <c r="G21" s="31">
        <v>0.0</v>
      </c>
      <c r="H21" s="53"/>
    </row>
    <row r="22">
      <c r="A22" s="26"/>
      <c r="B22" s="26"/>
      <c r="C22" s="61" t="s">
        <v>179</v>
      </c>
      <c r="D22" s="39">
        <v>2000.0</v>
      </c>
      <c r="E22" s="27">
        <v>0.0</v>
      </c>
      <c r="F22" s="27">
        <v>0.0</v>
      </c>
      <c r="G22" s="31">
        <v>0.0</v>
      </c>
      <c r="H22" s="53"/>
    </row>
    <row r="23">
      <c r="A23" s="26"/>
      <c r="B23" s="34"/>
      <c r="C23" s="61" t="s">
        <v>181</v>
      </c>
      <c r="D23" s="39">
        <v>2000.0</v>
      </c>
      <c r="E23" s="27">
        <v>0.0</v>
      </c>
      <c r="F23" s="27">
        <v>0.0</v>
      </c>
      <c r="G23" s="31">
        <v>0.0</v>
      </c>
      <c r="H23" s="53"/>
    </row>
    <row r="24">
      <c r="A24" s="26"/>
      <c r="B24" s="41" t="s">
        <v>131</v>
      </c>
      <c r="C24" s="61" t="s">
        <v>184</v>
      </c>
      <c r="D24" s="39">
        <v>1800.0</v>
      </c>
      <c r="E24" s="27">
        <v>0.0</v>
      </c>
      <c r="F24" s="27">
        <v>0.0</v>
      </c>
      <c r="G24" s="31">
        <v>0.0</v>
      </c>
      <c r="H24" s="53"/>
    </row>
    <row r="25">
      <c r="A25" s="26"/>
      <c r="B25" s="26"/>
      <c r="C25" s="61" t="s">
        <v>187</v>
      </c>
      <c r="D25" s="39">
        <v>1800.0</v>
      </c>
      <c r="E25" s="27">
        <v>0.0</v>
      </c>
      <c r="F25" s="27">
        <v>0.0</v>
      </c>
      <c r="G25" s="31">
        <v>0.0</v>
      </c>
      <c r="H25" s="53"/>
    </row>
    <row r="26">
      <c r="A26" s="26"/>
      <c r="B26" s="26"/>
      <c r="C26" s="61" t="s">
        <v>189</v>
      </c>
      <c r="D26" s="39">
        <v>1800.0</v>
      </c>
      <c r="E26" s="27">
        <v>0.0</v>
      </c>
      <c r="F26" s="27">
        <v>0.0</v>
      </c>
      <c r="G26" s="31">
        <v>0.0</v>
      </c>
      <c r="H26" s="53"/>
    </row>
    <row r="27">
      <c r="A27" s="26"/>
      <c r="B27" s="34"/>
      <c r="C27" s="61" t="s">
        <v>192</v>
      </c>
      <c r="D27" s="39">
        <v>1800.0</v>
      </c>
      <c r="E27" s="27">
        <v>0.0</v>
      </c>
      <c r="F27" s="27">
        <v>0.0</v>
      </c>
      <c r="G27" s="31">
        <v>0.0</v>
      </c>
      <c r="H27" s="53"/>
    </row>
    <row r="28">
      <c r="A28" s="26"/>
      <c r="B28" s="41" t="s">
        <v>143</v>
      </c>
      <c r="C28" s="61" t="s">
        <v>197</v>
      </c>
      <c r="D28" s="39">
        <v>1600.0</v>
      </c>
      <c r="E28" s="27">
        <v>0.0</v>
      </c>
      <c r="F28" s="27">
        <v>0.0</v>
      </c>
      <c r="G28" s="31">
        <v>0.0</v>
      </c>
      <c r="H28" s="53"/>
    </row>
    <row r="29">
      <c r="A29" s="26"/>
      <c r="B29" s="26"/>
      <c r="C29" s="61" t="s">
        <v>201</v>
      </c>
      <c r="D29" s="39">
        <v>1600.0</v>
      </c>
      <c r="E29" s="27">
        <v>0.0</v>
      </c>
      <c r="F29" s="27">
        <v>0.0</v>
      </c>
      <c r="G29" s="31">
        <v>0.0</v>
      </c>
      <c r="H29" s="53"/>
    </row>
    <row r="30">
      <c r="A30" s="26"/>
      <c r="B30" s="26"/>
      <c r="C30" s="61" t="s">
        <v>203</v>
      </c>
      <c r="D30" s="39">
        <v>1600.0</v>
      </c>
      <c r="E30" s="27">
        <v>0.0</v>
      </c>
      <c r="F30" s="27">
        <v>0.0</v>
      </c>
      <c r="G30" s="31">
        <v>0.0</v>
      </c>
      <c r="H30" s="53"/>
    </row>
    <row r="31">
      <c r="A31" s="26"/>
      <c r="B31" s="26"/>
      <c r="C31" s="61" t="s">
        <v>206</v>
      </c>
      <c r="D31" s="39">
        <v>1600.0</v>
      </c>
      <c r="E31" s="27">
        <v>0.0</v>
      </c>
      <c r="F31" s="27">
        <v>0.0</v>
      </c>
      <c r="G31" s="31">
        <v>0.0</v>
      </c>
      <c r="H31" s="53"/>
    </row>
    <row r="32">
      <c r="A32" s="26"/>
      <c r="B32" s="34"/>
      <c r="C32" s="61" t="s">
        <v>210</v>
      </c>
      <c r="D32" s="39">
        <v>1600.0</v>
      </c>
      <c r="E32" s="27">
        <v>0.0</v>
      </c>
      <c r="F32" s="27">
        <v>0.0</v>
      </c>
      <c r="G32" s="31">
        <v>0.0</v>
      </c>
      <c r="H32" s="53"/>
    </row>
    <row r="33">
      <c r="A33" s="26"/>
      <c r="B33" s="41" t="s">
        <v>148</v>
      </c>
      <c r="C33" s="61" t="s">
        <v>212</v>
      </c>
      <c r="D33" s="39">
        <v>1400.0</v>
      </c>
      <c r="E33" s="27">
        <v>0.0</v>
      </c>
      <c r="F33" s="27">
        <v>0.0</v>
      </c>
      <c r="G33" s="31">
        <v>0.0</v>
      </c>
      <c r="H33" s="53"/>
    </row>
    <row r="34">
      <c r="A34" s="26"/>
      <c r="B34" s="26"/>
      <c r="C34" s="61" t="s">
        <v>214</v>
      </c>
      <c r="D34" s="39">
        <v>1400.0</v>
      </c>
      <c r="E34" s="27">
        <v>0.0</v>
      </c>
      <c r="F34" s="27">
        <v>0.0</v>
      </c>
      <c r="G34" s="31">
        <v>0.0</v>
      </c>
      <c r="H34" s="53"/>
    </row>
    <row r="35">
      <c r="A35" s="26"/>
      <c r="B35" s="26"/>
      <c r="C35" s="61" t="s">
        <v>217</v>
      </c>
      <c r="D35" s="39">
        <v>1400.0</v>
      </c>
      <c r="E35" s="27">
        <v>0.0</v>
      </c>
      <c r="F35" s="27">
        <v>0.0</v>
      </c>
      <c r="G35" s="31">
        <v>0.0</v>
      </c>
      <c r="H35" s="33"/>
    </row>
    <row r="36">
      <c r="A36" s="26"/>
      <c r="B36" s="26"/>
      <c r="C36" s="61" t="s">
        <v>220</v>
      </c>
      <c r="D36" s="39">
        <v>1400.0</v>
      </c>
      <c r="E36" s="27">
        <v>0.0</v>
      </c>
      <c r="F36" s="27">
        <v>0.0</v>
      </c>
      <c r="G36" s="31">
        <v>0.0</v>
      </c>
      <c r="H36" s="33"/>
    </row>
    <row r="37">
      <c r="A37" s="26"/>
      <c r="B37" s="34"/>
      <c r="C37" s="61" t="s">
        <v>223</v>
      </c>
      <c r="D37" s="39">
        <v>1400.0</v>
      </c>
      <c r="E37" s="27">
        <v>0.0</v>
      </c>
      <c r="F37" s="27">
        <v>0.0</v>
      </c>
      <c r="G37" s="31">
        <v>0.0</v>
      </c>
      <c r="H37" s="33"/>
    </row>
    <row r="38">
      <c r="A38" s="34"/>
      <c r="B38" s="27" t="s">
        <v>225</v>
      </c>
      <c r="C38" s="61" t="s">
        <v>226</v>
      </c>
      <c r="D38" s="39">
        <v>1200.0</v>
      </c>
      <c r="E38" s="27">
        <v>0.0</v>
      </c>
      <c r="F38" s="27">
        <v>0.0</v>
      </c>
      <c r="G38" s="31">
        <v>0.0</v>
      </c>
      <c r="H38" s="33"/>
    </row>
    <row r="39">
      <c r="A39" s="18">
        <v>8.0</v>
      </c>
      <c r="B39" s="22" t="s">
        <v>230</v>
      </c>
      <c r="C39" s="44"/>
      <c r="D39" s="44"/>
      <c r="E39" s="44"/>
      <c r="F39" s="44"/>
      <c r="G39" s="6"/>
      <c r="H39" s="50">
        <v>0.0</v>
      </c>
    </row>
    <row r="40">
      <c r="A40" s="26"/>
      <c r="B40" s="68" t="s">
        <v>52</v>
      </c>
      <c r="C40" s="30" t="s">
        <v>239</v>
      </c>
      <c r="D40" s="69">
        <v>100.0</v>
      </c>
      <c r="E40" s="70">
        <v>0.0</v>
      </c>
      <c r="F40" s="70">
        <v>0.0</v>
      </c>
      <c r="G40" s="69">
        <v>0.0</v>
      </c>
      <c r="H40" s="33"/>
    </row>
    <row r="41">
      <c r="A41" s="26"/>
      <c r="B41" s="68" t="s">
        <v>63</v>
      </c>
      <c r="C41" s="30" t="s">
        <v>250</v>
      </c>
      <c r="D41" s="69">
        <v>275.0</v>
      </c>
      <c r="E41" s="70">
        <v>0.0</v>
      </c>
      <c r="F41" s="70">
        <v>0.0</v>
      </c>
      <c r="G41" s="69">
        <v>0.0</v>
      </c>
      <c r="H41" s="33"/>
    </row>
    <row r="42">
      <c r="A42" s="26"/>
      <c r="B42" s="68" t="s">
        <v>131</v>
      </c>
      <c r="C42" s="30" t="s">
        <v>253</v>
      </c>
      <c r="D42" s="69">
        <v>200.0</v>
      </c>
      <c r="E42" s="70">
        <v>0.0</v>
      </c>
      <c r="F42" s="70">
        <v>0.0</v>
      </c>
      <c r="G42" s="69">
        <v>0.0</v>
      </c>
      <c r="H42" s="33"/>
    </row>
    <row r="43">
      <c r="A43" s="26"/>
      <c r="B43" s="27" t="s">
        <v>143</v>
      </c>
      <c r="C43" s="30" t="s">
        <v>258</v>
      </c>
      <c r="D43" s="31">
        <v>500.0</v>
      </c>
      <c r="E43" s="70">
        <v>0.0</v>
      </c>
      <c r="F43" s="70">
        <v>0.0</v>
      </c>
      <c r="G43" s="69">
        <v>0.0</v>
      </c>
      <c r="H43" s="33"/>
    </row>
    <row r="44">
      <c r="A44" s="26"/>
      <c r="B44" s="27" t="s">
        <v>148</v>
      </c>
      <c r="C44" s="30" t="s">
        <v>260</v>
      </c>
      <c r="D44" s="31">
        <v>175.0</v>
      </c>
      <c r="E44" s="70">
        <v>0.0</v>
      </c>
      <c r="F44" s="70">
        <v>0.0</v>
      </c>
      <c r="G44" s="69">
        <v>0.0</v>
      </c>
      <c r="H44" s="33"/>
    </row>
    <row r="45">
      <c r="A45" s="34"/>
      <c r="B45" s="27" t="s">
        <v>225</v>
      </c>
      <c r="C45" s="30" t="s">
        <v>263</v>
      </c>
      <c r="D45" s="31">
        <v>500.0</v>
      </c>
      <c r="E45" s="70">
        <v>0.0</v>
      </c>
      <c r="F45" s="70">
        <v>0.0</v>
      </c>
      <c r="G45" s="69">
        <v>0.0</v>
      </c>
      <c r="H45" s="33"/>
    </row>
    <row r="46">
      <c r="A46" s="27">
        <v>9.0</v>
      </c>
      <c r="B46" s="22" t="s">
        <v>267</v>
      </c>
      <c r="C46" s="44"/>
      <c r="D46" s="31">
        <v>750.0</v>
      </c>
      <c r="E46" s="70">
        <v>0.0</v>
      </c>
      <c r="F46" s="70">
        <v>0.0</v>
      </c>
      <c r="G46" s="69">
        <v>0.0</v>
      </c>
      <c r="H46" s="37">
        <v>0.0</v>
      </c>
    </row>
    <row r="47">
      <c r="A47" s="41">
        <v>10.0</v>
      </c>
      <c r="B47" s="43" t="s">
        <v>282</v>
      </c>
      <c r="C47" s="44"/>
      <c r="D47" s="44"/>
      <c r="E47" s="44"/>
      <c r="F47" s="44"/>
      <c r="G47" s="6"/>
      <c r="H47" s="50">
        <v>0.0</v>
      </c>
    </row>
    <row r="48">
      <c r="A48" s="26"/>
      <c r="B48" s="52" t="s">
        <v>52</v>
      </c>
      <c r="C48" s="30" t="s">
        <v>289</v>
      </c>
      <c r="D48" s="51">
        <v>75.0</v>
      </c>
      <c r="E48" s="27" t="s">
        <v>86</v>
      </c>
      <c r="F48" s="27">
        <v>0.0</v>
      </c>
      <c r="G48" s="37">
        <v>0.0</v>
      </c>
      <c r="H48" s="49"/>
    </row>
    <row r="49">
      <c r="A49" s="26"/>
      <c r="B49" s="52" t="s">
        <v>63</v>
      </c>
      <c r="C49" s="71" t="s">
        <v>294</v>
      </c>
      <c r="D49" s="44"/>
      <c r="E49" s="44"/>
      <c r="F49" s="6"/>
      <c r="G49" s="37">
        <v>0.0</v>
      </c>
      <c r="H49" s="49"/>
    </row>
    <row r="50">
      <c r="A50" s="26"/>
      <c r="B50" s="52" t="s">
        <v>131</v>
      </c>
      <c r="C50" s="72" t="s">
        <v>299</v>
      </c>
      <c r="D50" s="51">
        <v>70.0</v>
      </c>
      <c r="E50" s="27" t="s">
        <v>86</v>
      </c>
      <c r="F50" s="27">
        <v>0.0</v>
      </c>
      <c r="G50" s="37">
        <v>0.0</v>
      </c>
      <c r="H50" s="49"/>
    </row>
    <row r="51">
      <c r="A51" s="27">
        <v>11.0</v>
      </c>
      <c r="B51" s="43" t="s">
        <v>302</v>
      </c>
      <c r="C51" s="44"/>
      <c r="D51" s="44"/>
      <c r="E51" s="44"/>
      <c r="F51" s="6"/>
      <c r="G51" s="37">
        <v>0.0</v>
      </c>
      <c r="H51" s="37">
        <v>0.0</v>
      </c>
    </row>
    <row r="52">
      <c r="A52" s="41">
        <v>12.0</v>
      </c>
      <c r="B52" s="43" t="s">
        <v>312</v>
      </c>
      <c r="C52" s="44"/>
      <c r="D52" s="44"/>
      <c r="E52" s="44"/>
      <c r="F52" s="44"/>
      <c r="G52" s="6"/>
      <c r="H52" s="37">
        <v>0.0</v>
      </c>
    </row>
    <row r="53">
      <c r="A53" s="26"/>
      <c r="B53" s="45" t="s">
        <v>52</v>
      </c>
      <c r="C53" s="73" t="s">
        <v>317</v>
      </c>
      <c r="D53" s="44"/>
      <c r="E53" s="44"/>
      <c r="F53" s="6"/>
      <c r="G53" s="37">
        <v>0.0</v>
      </c>
      <c r="H53" s="49"/>
    </row>
    <row r="54">
      <c r="A54" s="26"/>
      <c r="B54" s="45" t="s">
        <v>63</v>
      </c>
      <c r="C54" s="73" t="s">
        <v>322</v>
      </c>
      <c r="D54" s="44"/>
      <c r="E54" s="44"/>
      <c r="F54" s="6"/>
      <c r="G54" s="37">
        <v>0.0</v>
      </c>
      <c r="H54" s="49"/>
    </row>
    <row r="55">
      <c r="A55" s="26"/>
      <c r="B55" s="45" t="s">
        <v>131</v>
      </c>
      <c r="C55" s="73" t="s">
        <v>326</v>
      </c>
      <c r="D55" s="44"/>
      <c r="E55" s="44"/>
      <c r="F55" s="6"/>
      <c r="G55" s="37">
        <v>0.0</v>
      </c>
      <c r="H55" s="49"/>
    </row>
    <row r="56">
      <c r="A56" s="34"/>
      <c r="B56" s="45" t="s">
        <v>143</v>
      </c>
      <c r="C56" s="73" t="s">
        <v>332</v>
      </c>
      <c r="D56" s="44"/>
      <c r="E56" s="44"/>
      <c r="F56" s="6"/>
      <c r="G56" s="37">
        <v>0.0</v>
      </c>
      <c r="H56" s="49"/>
    </row>
    <row r="57">
      <c r="A57" s="41">
        <v>13.0</v>
      </c>
      <c r="B57" s="43" t="s">
        <v>335</v>
      </c>
      <c r="C57" s="44"/>
      <c r="D57" s="44"/>
      <c r="E57" s="44"/>
      <c r="F57" s="6"/>
      <c r="G57" s="49"/>
      <c r="H57" s="37">
        <v>0.0</v>
      </c>
    </row>
    <row r="58">
      <c r="A58" s="26"/>
      <c r="B58" s="45" t="s">
        <v>52</v>
      </c>
      <c r="C58" s="74" t="s">
        <v>339</v>
      </c>
      <c r="D58" s="69">
        <v>50.0</v>
      </c>
      <c r="E58" s="70" t="s">
        <v>86</v>
      </c>
      <c r="F58" s="70">
        <v>0.0</v>
      </c>
      <c r="G58" s="37">
        <v>0.0</v>
      </c>
      <c r="H58" s="49"/>
    </row>
    <row r="59">
      <c r="A59" s="26"/>
      <c r="B59" s="45" t="s">
        <v>63</v>
      </c>
      <c r="C59" s="74" t="s">
        <v>342</v>
      </c>
      <c r="D59" s="69">
        <v>0.0</v>
      </c>
      <c r="E59" s="70" t="s">
        <v>86</v>
      </c>
      <c r="F59" s="70">
        <v>0.0</v>
      </c>
      <c r="G59" s="37">
        <v>0.0</v>
      </c>
      <c r="H59" s="49"/>
    </row>
    <row r="60">
      <c r="A60" s="26"/>
      <c r="B60" s="45" t="s">
        <v>345</v>
      </c>
      <c r="C60" s="74" t="s">
        <v>346</v>
      </c>
      <c r="D60" s="69">
        <v>0.0</v>
      </c>
      <c r="E60" s="70" t="s">
        <v>86</v>
      </c>
      <c r="F60" s="70">
        <v>0.0</v>
      </c>
      <c r="G60" s="37">
        <v>0.0</v>
      </c>
      <c r="H60" s="49"/>
    </row>
    <row r="61">
      <c r="A61" s="34"/>
      <c r="B61" s="45" t="s">
        <v>347</v>
      </c>
      <c r="C61" s="76" t="s">
        <v>348</v>
      </c>
      <c r="D61" s="44"/>
      <c r="E61" s="44"/>
      <c r="F61" s="6"/>
      <c r="G61" s="37">
        <v>0.0</v>
      </c>
      <c r="H61" s="49"/>
    </row>
    <row r="62">
      <c r="A62" s="77" t="s">
        <v>350</v>
      </c>
      <c r="B62" s="44"/>
      <c r="C62" s="44"/>
      <c r="D62" s="44"/>
      <c r="E62" s="44"/>
      <c r="F62" s="44"/>
      <c r="G62" s="6"/>
      <c r="H62" s="78">
        <v>0.0</v>
      </c>
    </row>
  </sheetData>
  <mergeCells count="35">
    <mergeCell ref="B1:C1"/>
    <mergeCell ref="A2:A4"/>
    <mergeCell ref="B2:C2"/>
    <mergeCell ref="B5:C5"/>
    <mergeCell ref="B6:C6"/>
    <mergeCell ref="B7:C7"/>
    <mergeCell ref="B8:G8"/>
    <mergeCell ref="B10:G10"/>
    <mergeCell ref="H13:H15"/>
    <mergeCell ref="B16:G16"/>
    <mergeCell ref="B17:B19"/>
    <mergeCell ref="B20:B23"/>
    <mergeCell ref="B24:B27"/>
    <mergeCell ref="B39:G39"/>
    <mergeCell ref="A47:A50"/>
    <mergeCell ref="A52:A56"/>
    <mergeCell ref="A57:A61"/>
    <mergeCell ref="A8:A9"/>
    <mergeCell ref="A10:A15"/>
    <mergeCell ref="A16:A38"/>
    <mergeCell ref="B28:B32"/>
    <mergeCell ref="B33:B37"/>
    <mergeCell ref="A39:A45"/>
    <mergeCell ref="B46:C46"/>
    <mergeCell ref="C56:F56"/>
    <mergeCell ref="B57:F57"/>
    <mergeCell ref="C61:F61"/>
    <mergeCell ref="A62:G62"/>
    <mergeCell ref="B47:G47"/>
    <mergeCell ref="C49:F49"/>
    <mergeCell ref="B51:F51"/>
    <mergeCell ref="B52:G52"/>
    <mergeCell ref="C53:F53"/>
    <mergeCell ref="C54:F54"/>
    <mergeCell ref="C55:F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0.63"/>
    <col customWidth="1" min="3" max="3" width="24.63"/>
    <col customWidth="1" min="5" max="5" width="94.38"/>
    <col customWidth="1" min="6" max="6" width="42.0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2</v>
      </c>
      <c r="H1" s="2" t="s">
        <v>10</v>
      </c>
      <c r="I1" s="2" t="s">
        <v>11</v>
      </c>
      <c r="J1" s="2" t="s">
        <v>12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>
        <v>46156.592435405095</v>
      </c>
      <c r="B2" s="15" t="s">
        <v>21</v>
      </c>
      <c r="C2" s="15" t="s">
        <v>25</v>
      </c>
      <c r="D2" s="15" t="s">
        <v>26</v>
      </c>
      <c r="E2" s="15" t="s">
        <v>27</v>
      </c>
      <c r="F2" s="15" t="s">
        <v>28</v>
      </c>
      <c r="G2" s="17">
        <v>46072.0</v>
      </c>
      <c r="H2" s="19">
        <v>28.0</v>
      </c>
      <c r="I2" s="19">
        <v>215350.0</v>
      </c>
      <c r="J2" s="19">
        <v>188350.0</v>
      </c>
    </row>
    <row r="3">
      <c r="A3" s="12">
        <v>46156.59364315972</v>
      </c>
      <c r="B3" s="15" t="s">
        <v>21</v>
      </c>
      <c r="C3" s="15" t="s">
        <v>25</v>
      </c>
      <c r="D3" s="15" t="s">
        <v>26</v>
      </c>
      <c r="E3" s="15" t="s">
        <v>31</v>
      </c>
      <c r="F3" s="15" t="s">
        <v>33</v>
      </c>
      <c r="G3" s="17">
        <v>46119.0</v>
      </c>
      <c r="H3" s="19">
        <v>40.0</v>
      </c>
      <c r="I3" s="19">
        <v>15300.0</v>
      </c>
      <c r="J3" s="19">
        <v>13000.0</v>
      </c>
    </row>
    <row r="4">
      <c r="A4" s="12">
        <v>46156.610804861106</v>
      </c>
      <c r="B4" s="15" t="s">
        <v>36</v>
      </c>
      <c r="C4" s="15" t="s">
        <v>25</v>
      </c>
      <c r="D4" s="15" t="s">
        <v>37</v>
      </c>
      <c r="E4" s="15" t="s">
        <v>38</v>
      </c>
      <c r="F4" s="15" t="s">
        <v>39</v>
      </c>
      <c r="G4" s="17">
        <v>46133.0</v>
      </c>
      <c r="H4" s="19">
        <v>30.0</v>
      </c>
      <c r="I4" s="19">
        <v>579315.0</v>
      </c>
      <c r="J4" s="19">
        <v>552355.0</v>
      </c>
    </row>
    <row r="5">
      <c r="A5" s="12">
        <v>46162.41602974537</v>
      </c>
      <c r="B5" s="15" t="s">
        <v>45</v>
      </c>
      <c r="C5" s="15" t="s">
        <v>25</v>
      </c>
      <c r="D5" s="15" t="s">
        <v>46</v>
      </c>
      <c r="E5" s="15" t="s">
        <v>48</v>
      </c>
      <c r="F5" s="15" t="s">
        <v>51</v>
      </c>
      <c r="G5" s="17">
        <v>46149.0</v>
      </c>
      <c r="H5" s="19">
        <v>30.0</v>
      </c>
      <c r="I5" s="19">
        <v>69180.0</v>
      </c>
      <c r="J5" s="15">
        <v>59670.0</v>
      </c>
    </row>
    <row r="6">
      <c r="A6" s="12">
        <v>46167.45578701389</v>
      </c>
      <c r="B6" s="15" t="s">
        <v>21</v>
      </c>
      <c r="C6" s="15" t="s">
        <v>25</v>
      </c>
      <c r="D6" s="15" t="s">
        <v>54</v>
      </c>
      <c r="E6" s="15" t="s">
        <v>55</v>
      </c>
      <c r="F6" s="15" t="s">
        <v>56</v>
      </c>
      <c r="G6" s="17">
        <v>46052.0</v>
      </c>
      <c r="H6" s="19">
        <v>70.0</v>
      </c>
      <c r="I6" s="19">
        <v>399000.0</v>
      </c>
      <c r="J6" s="19">
        <v>96300.0</v>
      </c>
    </row>
    <row r="7">
      <c r="A7" s="12">
        <v>46168.34355635417</v>
      </c>
      <c r="B7" s="15" t="s">
        <v>21</v>
      </c>
      <c r="C7" s="15" t="s">
        <v>25</v>
      </c>
      <c r="D7" s="15" t="s">
        <v>59</v>
      </c>
      <c r="E7" s="15" t="s">
        <v>60</v>
      </c>
      <c r="F7" s="15" t="s">
        <v>62</v>
      </c>
      <c r="G7" s="17">
        <v>46162.0</v>
      </c>
      <c r="H7" s="19">
        <v>45.0</v>
      </c>
      <c r="I7" s="19">
        <v>564825.0</v>
      </c>
      <c r="J7" s="19">
        <v>401552.0</v>
      </c>
    </row>
    <row r="8">
      <c r="A8" s="12">
        <v>46169.64700302083</v>
      </c>
      <c r="B8" s="15" t="s">
        <v>36</v>
      </c>
      <c r="C8" s="15" t="s">
        <v>25</v>
      </c>
      <c r="D8" s="15" t="s">
        <v>37</v>
      </c>
      <c r="E8" s="15" t="s">
        <v>66</v>
      </c>
      <c r="F8" s="15" t="s">
        <v>39</v>
      </c>
      <c r="G8" s="17">
        <v>46080.0</v>
      </c>
      <c r="H8" s="19">
        <v>31.0</v>
      </c>
      <c r="I8" s="19">
        <v>263302.5</v>
      </c>
      <c r="J8" s="19">
        <v>243050.5</v>
      </c>
    </row>
    <row r="9">
      <c r="A9" s="12">
        <v>46169.65533756945</v>
      </c>
      <c r="B9" s="15" t="s">
        <v>36</v>
      </c>
      <c r="C9" s="15" t="s">
        <v>25</v>
      </c>
      <c r="D9" s="15" t="s">
        <v>37</v>
      </c>
      <c r="E9" s="15" t="s">
        <v>71</v>
      </c>
      <c r="F9" s="15" t="s">
        <v>39</v>
      </c>
      <c r="G9" s="17">
        <v>46066.0</v>
      </c>
      <c r="H9" s="19">
        <v>29.0</v>
      </c>
      <c r="I9" s="19">
        <v>267187.5</v>
      </c>
      <c r="J9" s="19">
        <v>304159.5</v>
      </c>
    </row>
    <row r="10">
      <c r="A10" s="12">
        <v>46169.659580625</v>
      </c>
      <c r="B10" s="15" t="s">
        <v>36</v>
      </c>
      <c r="C10" s="15" t="s">
        <v>25</v>
      </c>
      <c r="D10" s="15" t="s">
        <v>37</v>
      </c>
      <c r="E10" s="15" t="s">
        <v>76</v>
      </c>
      <c r="F10" s="15" t="s">
        <v>77</v>
      </c>
      <c r="G10" s="17">
        <v>46101.0</v>
      </c>
      <c r="H10" s="19">
        <v>31.0</v>
      </c>
      <c r="I10" s="19">
        <v>306127.5</v>
      </c>
      <c r="J10" s="19">
        <v>327401.5</v>
      </c>
      <c r="K10" s="46">
        <f>SUM(J2,J2:J10)</f>
        <v>2374188.5</v>
      </c>
    </row>
    <row r="11">
      <c r="A11" s="12">
        <v>46206.446021192125</v>
      </c>
      <c r="B11" s="15" t="s">
        <v>21</v>
      </c>
      <c r="C11" s="15" t="s">
        <v>25</v>
      </c>
      <c r="D11" s="15" t="s">
        <v>59</v>
      </c>
      <c r="E11" s="15" t="s">
        <v>101</v>
      </c>
      <c r="F11" s="15" t="s">
        <v>102</v>
      </c>
      <c r="G11" s="17">
        <v>46197.0</v>
      </c>
      <c r="H11" s="19">
        <v>49.0</v>
      </c>
      <c r="I11" s="19">
        <v>701550.0</v>
      </c>
      <c r="J11" s="19">
        <v>610288.0</v>
      </c>
    </row>
    <row r="12">
      <c r="A12" s="12">
        <v>46212.366890289355</v>
      </c>
      <c r="B12" s="15" t="s">
        <v>21</v>
      </c>
      <c r="C12" s="15" t="s">
        <v>25</v>
      </c>
      <c r="D12" s="15" t="s">
        <v>59</v>
      </c>
      <c r="E12" s="15" t="s">
        <v>106</v>
      </c>
      <c r="F12" s="15" t="s">
        <v>102</v>
      </c>
      <c r="G12" s="17">
        <v>46180.0</v>
      </c>
      <c r="H12" s="19">
        <v>50.0</v>
      </c>
      <c r="I12" s="19">
        <v>661650.0</v>
      </c>
      <c r="J12" s="19">
        <v>435572.0</v>
      </c>
    </row>
    <row r="13">
      <c r="A13" s="12">
        <v>46212.37634278936</v>
      </c>
      <c r="B13" s="15" t="s">
        <v>21</v>
      </c>
      <c r="C13" s="15" t="s">
        <v>25</v>
      </c>
      <c r="D13" s="15" t="s">
        <v>54</v>
      </c>
      <c r="E13" s="15" t="s">
        <v>110</v>
      </c>
      <c r="F13" s="15" t="s">
        <v>112</v>
      </c>
      <c r="G13" s="17">
        <v>46195.0</v>
      </c>
      <c r="H13" s="19">
        <v>80.0</v>
      </c>
      <c r="I13" s="19">
        <v>439400.0</v>
      </c>
      <c r="J13" s="19">
        <v>206109.0</v>
      </c>
    </row>
    <row r="14">
      <c r="A14" s="12">
        <v>46220.65208559028</v>
      </c>
      <c r="B14" s="15" t="s">
        <v>36</v>
      </c>
      <c r="C14" s="15" t="s">
        <v>25</v>
      </c>
      <c r="D14" s="15" t="s">
        <v>37</v>
      </c>
      <c r="E14" s="15" t="s">
        <v>115</v>
      </c>
      <c r="F14" s="15" t="s">
        <v>39</v>
      </c>
      <c r="G14" s="17">
        <v>46164.0</v>
      </c>
      <c r="H14" s="19">
        <v>32.0</v>
      </c>
      <c r="I14" s="19">
        <v>578835.0</v>
      </c>
      <c r="J14" s="19">
        <v>530585.0</v>
      </c>
    </row>
    <row r="15">
      <c r="A15" s="12">
        <v>46222.67836143519</v>
      </c>
      <c r="B15" s="15" t="s">
        <v>119</v>
      </c>
      <c r="C15" s="15" t="s">
        <v>25</v>
      </c>
      <c r="D15" s="15" t="s">
        <v>120</v>
      </c>
      <c r="E15" s="15" t="s">
        <v>121</v>
      </c>
      <c r="F15" s="15" t="s">
        <v>122</v>
      </c>
      <c r="G15" s="17">
        <v>46163.0</v>
      </c>
      <c r="H15" s="19">
        <v>60.0</v>
      </c>
      <c r="I15" s="19">
        <v>95600.0</v>
      </c>
      <c r="J15" s="19">
        <v>85400.0</v>
      </c>
    </row>
    <row r="16">
      <c r="A16" s="12">
        <v>46222.70464726852</v>
      </c>
      <c r="B16" s="15" t="s">
        <v>81</v>
      </c>
      <c r="C16" s="15" t="s">
        <v>25</v>
      </c>
      <c r="D16" s="15" t="s">
        <v>127</v>
      </c>
      <c r="E16" s="15" t="s">
        <v>129</v>
      </c>
      <c r="F16" s="15" t="s">
        <v>130</v>
      </c>
      <c r="G16" s="17">
        <v>46241.0</v>
      </c>
      <c r="H16" s="19">
        <v>353.0</v>
      </c>
      <c r="I16" s="19">
        <v>99950.0</v>
      </c>
      <c r="J16" s="19">
        <v>99950.0</v>
      </c>
    </row>
    <row r="17">
      <c r="A17" s="12">
        <v>46223.40454209491</v>
      </c>
      <c r="B17" s="15" t="s">
        <v>136</v>
      </c>
      <c r="C17" s="15" t="s">
        <v>25</v>
      </c>
      <c r="D17" s="15" t="s">
        <v>137</v>
      </c>
      <c r="E17" s="15" t="s">
        <v>138</v>
      </c>
      <c r="F17" s="15" t="s">
        <v>139</v>
      </c>
      <c r="G17" s="17">
        <v>46029.0</v>
      </c>
      <c r="H17" s="19">
        <v>38.0</v>
      </c>
      <c r="I17" s="19">
        <v>322950.0</v>
      </c>
      <c r="J17" s="19">
        <v>235295.0</v>
      </c>
    </row>
    <row r="18">
      <c r="A18" s="12">
        <v>46223.4164591088</v>
      </c>
      <c r="B18" s="15" t="s">
        <v>141</v>
      </c>
      <c r="C18" s="15" t="s">
        <v>25</v>
      </c>
      <c r="D18" s="15" t="s">
        <v>142</v>
      </c>
      <c r="E18" s="15" t="s">
        <v>144</v>
      </c>
      <c r="F18" s="15" t="s">
        <v>146</v>
      </c>
      <c r="G18" s="17">
        <v>46196.0</v>
      </c>
      <c r="H18" s="19">
        <v>45.0</v>
      </c>
      <c r="I18" s="19">
        <v>58300.0</v>
      </c>
      <c r="J18" s="19">
        <v>58300.0</v>
      </c>
    </row>
    <row r="19">
      <c r="A19" s="12">
        <v>46223.42140958333</v>
      </c>
      <c r="B19" s="15" t="s">
        <v>141</v>
      </c>
      <c r="C19" s="15" t="s">
        <v>25</v>
      </c>
      <c r="D19" s="15" t="s">
        <v>142</v>
      </c>
      <c r="E19" s="15" t="s">
        <v>150</v>
      </c>
      <c r="F19" s="15" t="s">
        <v>146</v>
      </c>
      <c r="G19" s="17">
        <v>46197.0</v>
      </c>
      <c r="H19" s="19">
        <v>42.0</v>
      </c>
      <c r="I19" s="19">
        <v>58300.0</v>
      </c>
      <c r="J19" s="19">
        <v>58300.0</v>
      </c>
    </row>
    <row r="20">
      <c r="A20" s="12">
        <v>46223.42350844908</v>
      </c>
      <c r="B20" s="15" t="s">
        <v>141</v>
      </c>
      <c r="C20" s="15" t="s">
        <v>25</v>
      </c>
      <c r="D20" s="15" t="s">
        <v>142</v>
      </c>
      <c r="E20" s="15" t="s">
        <v>153</v>
      </c>
      <c r="F20" s="15" t="s">
        <v>154</v>
      </c>
      <c r="G20" s="17">
        <v>46198.0</v>
      </c>
      <c r="H20" s="19">
        <v>42.0</v>
      </c>
      <c r="I20" s="19">
        <v>58300.0</v>
      </c>
      <c r="J20" s="19">
        <v>58300.0</v>
      </c>
    </row>
    <row r="21">
      <c r="A21" s="12">
        <v>46223.42652862269</v>
      </c>
      <c r="B21" s="15" t="s">
        <v>157</v>
      </c>
      <c r="C21" s="15" t="s">
        <v>25</v>
      </c>
      <c r="D21" s="15" t="s">
        <v>159</v>
      </c>
      <c r="E21" s="15" t="s">
        <v>160</v>
      </c>
      <c r="F21" s="15" t="s">
        <v>161</v>
      </c>
      <c r="G21" s="17">
        <v>46181.0</v>
      </c>
      <c r="H21" s="19">
        <v>38.0</v>
      </c>
      <c r="I21" s="19">
        <v>484160.0</v>
      </c>
      <c r="J21" s="19">
        <v>398014.0</v>
      </c>
    </row>
    <row r="22">
      <c r="A22" s="12">
        <v>46223.427002638884</v>
      </c>
      <c r="B22" s="15" t="s">
        <v>141</v>
      </c>
      <c r="C22" s="15" t="s">
        <v>25</v>
      </c>
      <c r="D22" s="15" t="s">
        <v>142</v>
      </c>
      <c r="E22" s="15" t="s">
        <v>164</v>
      </c>
      <c r="F22" s="15" t="s">
        <v>146</v>
      </c>
      <c r="G22" s="17">
        <v>46199.0</v>
      </c>
      <c r="H22" s="19">
        <v>42.0</v>
      </c>
      <c r="I22" s="19">
        <v>58300.0</v>
      </c>
      <c r="J22" s="19">
        <v>58300.0</v>
      </c>
    </row>
    <row r="23">
      <c r="A23" s="12">
        <v>46223.428064224536</v>
      </c>
      <c r="B23" s="15" t="s">
        <v>157</v>
      </c>
      <c r="C23" s="15" t="s">
        <v>25</v>
      </c>
      <c r="D23" s="15" t="s">
        <v>159</v>
      </c>
      <c r="E23" s="15" t="s">
        <v>168</v>
      </c>
      <c r="F23" s="15" t="s">
        <v>161</v>
      </c>
      <c r="G23" s="17">
        <v>46195.0</v>
      </c>
      <c r="H23" s="19">
        <v>40.0</v>
      </c>
      <c r="I23" s="19">
        <v>489900.0</v>
      </c>
      <c r="J23" s="19">
        <v>390150.0</v>
      </c>
    </row>
    <row r="24">
      <c r="A24" s="12">
        <v>46223.42870662037</v>
      </c>
      <c r="B24" s="15" t="s">
        <v>141</v>
      </c>
      <c r="C24" s="15" t="s">
        <v>25</v>
      </c>
      <c r="D24" s="15" t="s">
        <v>142</v>
      </c>
      <c r="E24" s="15" t="s">
        <v>171</v>
      </c>
      <c r="F24" s="15" t="s">
        <v>146</v>
      </c>
      <c r="G24" s="17">
        <v>46204.0</v>
      </c>
      <c r="H24" s="19">
        <v>45.0</v>
      </c>
      <c r="I24" s="19">
        <v>58300.0</v>
      </c>
      <c r="J24" s="19">
        <v>58300.0</v>
      </c>
    </row>
    <row r="25">
      <c r="A25" s="12">
        <v>46223.43326417824</v>
      </c>
      <c r="B25" s="15" t="s">
        <v>141</v>
      </c>
      <c r="C25" s="15" t="s">
        <v>25</v>
      </c>
      <c r="D25" s="15" t="s">
        <v>142</v>
      </c>
      <c r="E25" s="15" t="s">
        <v>178</v>
      </c>
      <c r="F25" s="15" t="s">
        <v>146</v>
      </c>
      <c r="G25" s="17">
        <v>46205.0</v>
      </c>
      <c r="H25" s="19">
        <v>42.0</v>
      </c>
      <c r="I25" s="19">
        <v>58300.0</v>
      </c>
      <c r="J25" s="19">
        <v>58300.0</v>
      </c>
    </row>
    <row r="26">
      <c r="A26" s="12">
        <v>46223.43503298611</v>
      </c>
      <c r="B26" s="15" t="s">
        <v>141</v>
      </c>
      <c r="C26" s="15" t="s">
        <v>25</v>
      </c>
      <c r="D26" s="15" t="s">
        <v>142</v>
      </c>
      <c r="E26" s="15" t="s">
        <v>182</v>
      </c>
      <c r="F26" s="15" t="s">
        <v>146</v>
      </c>
      <c r="G26" s="17">
        <v>46206.0</v>
      </c>
      <c r="H26" s="19">
        <v>42.0</v>
      </c>
      <c r="I26" s="19">
        <v>58300.0</v>
      </c>
      <c r="J26" s="19">
        <v>58300.0</v>
      </c>
    </row>
    <row r="27">
      <c r="A27" s="12">
        <v>46223.4376299537</v>
      </c>
      <c r="B27" s="15" t="s">
        <v>141</v>
      </c>
      <c r="C27" s="15" t="s">
        <v>25</v>
      </c>
      <c r="D27" s="15" t="s">
        <v>142</v>
      </c>
      <c r="E27" s="15" t="s">
        <v>186</v>
      </c>
      <c r="F27" s="15" t="s">
        <v>146</v>
      </c>
      <c r="G27" s="17">
        <v>46209.0</v>
      </c>
      <c r="H27" s="19">
        <v>42.0</v>
      </c>
      <c r="I27" s="19">
        <v>58300.0</v>
      </c>
      <c r="J27" s="19">
        <v>58450.0</v>
      </c>
    </row>
    <row r="28">
      <c r="A28" s="12">
        <v>46223.439116388894</v>
      </c>
      <c r="B28" s="15" t="s">
        <v>141</v>
      </c>
      <c r="C28" s="15" t="s">
        <v>25</v>
      </c>
      <c r="D28" s="15" t="s">
        <v>142</v>
      </c>
      <c r="E28" s="15" t="s">
        <v>191</v>
      </c>
      <c r="F28" s="15" t="s">
        <v>146</v>
      </c>
      <c r="G28" s="17">
        <v>46210.0</v>
      </c>
      <c r="H28" s="19">
        <v>42.0</v>
      </c>
      <c r="I28" s="19">
        <v>58300.0</v>
      </c>
      <c r="J28" s="19">
        <v>58450.0</v>
      </c>
    </row>
    <row r="29">
      <c r="A29" s="12">
        <v>46223.4485919213</v>
      </c>
      <c r="B29" s="15" t="s">
        <v>141</v>
      </c>
      <c r="C29" s="15" t="s">
        <v>25</v>
      </c>
      <c r="D29" s="15" t="s">
        <v>142</v>
      </c>
      <c r="E29" s="15" t="s">
        <v>194</v>
      </c>
      <c r="F29" s="15" t="s">
        <v>195</v>
      </c>
      <c r="G29" s="17">
        <v>46196.0</v>
      </c>
      <c r="H29" s="19">
        <v>27.0</v>
      </c>
      <c r="I29" s="19">
        <v>44950.0</v>
      </c>
      <c r="J29" s="19">
        <v>44950.0</v>
      </c>
    </row>
    <row r="30">
      <c r="A30" s="12">
        <v>46223.450718506945</v>
      </c>
      <c r="B30" s="15" t="s">
        <v>141</v>
      </c>
      <c r="C30" s="15" t="s">
        <v>25</v>
      </c>
      <c r="D30" s="15" t="s">
        <v>142</v>
      </c>
      <c r="E30" s="15" t="s">
        <v>198</v>
      </c>
      <c r="F30" s="15" t="s">
        <v>199</v>
      </c>
      <c r="G30" s="17">
        <v>46197.0</v>
      </c>
      <c r="H30" s="19">
        <v>27.0</v>
      </c>
      <c r="I30" s="19">
        <v>44800.0</v>
      </c>
      <c r="J30" s="19">
        <v>44800.0</v>
      </c>
    </row>
    <row r="31">
      <c r="A31" s="12">
        <v>46223.45332774306</v>
      </c>
      <c r="B31" s="15" t="s">
        <v>141</v>
      </c>
      <c r="C31" s="15" t="s">
        <v>25</v>
      </c>
      <c r="D31" s="15" t="s">
        <v>142</v>
      </c>
      <c r="E31" s="15" t="s">
        <v>204</v>
      </c>
      <c r="F31" s="15" t="s">
        <v>195</v>
      </c>
      <c r="G31" s="17">
        <v>46198.0</v>
      </c>
      <c r="H31" s="19">
        <v>27.0</v>
      </c>
      <c r="I31" s="19">
        <v>44950.0</v>
      </c>
      <c r="J31" s="19">
        <v>44950.0</v>
      </c>
    </row>
    <row r="32">
      <c r="A32" s="12">
        <v>46223.45589604166</v>
      </c>
      <c r="B32" s="15" t="s">
        <v>141</v>
      </c>
      <c r="C32" s="15" t="s">
        <v>25</v>
      </c>
      <c r="D32" s="15" t="s">
        <v>142</v>
      </c>
      <c r="E32" s="15" t="s">
        <v>207</v>
      </c>
      <c r="F32" s="15" t="s">
        <v>208</v>
      </c>
      <c r="G32" s="17">
        <v>46199.0</v>
      </c>
      <c r="H32" s="19">
        <v>27.0</v>
      </c>
      <c r="I32" s="19">
        <v>44800.0</v>
      </c>
      <c r="J32" s="19">
        <v>44800.0</v>
      </c>
    </row>
    <row r="33">
      <c r="A33" s="12">
        <v>46223.45765280093</v>
      </c>
      <c r="B33" s="15" t="s">
        <v>141</v>
      </c>
      <c r="C33" s="15" t="s">
        <v>25</v>
      </c>
      <c r="D33" s="15" t="s">
        <v>142</v>
      </c>
      <c r="E33" s="15" t="s">
        <v>213</v>
      </c>
      <c r="F33" s="15" t="s">
        <v>195</v>
      </c>
      <c r="G33" s="17">
        <v>46204.0</v>
      </c>
      <c r="H33" s="19">
        <v>27.0</v>
      </c>
      <c r="I33" s="19">
        <v>44800.0</v>
      </c>
      <c r="J33" s="19">
        <v>44800.0</v>
      </c>
    </row>
    <row r="34">
      <c r="A34" s="12">
        <v>46223.459074872684</v>
      </c>
      <c r="B34" s="15" t="s">
        <v>141</v>
      </c>
      <c r="C34" s="15" t="s">
        <v>25</v>
      </c>
      <c r="D34" s="15" t="s">
        <v>142</v>
      </c>
      <c r="E34" s="15" t="s">
        <v>216</v>
      </c>
      <c r="F34" s="15" t="s">
        <v>195</v>
      </c>
      <c r="G34" s="17">
        <v>46205.0</v>
      </c>
      <c r="H34" s="19">
        <v>27.0</v>
      </c>
      <c r="I34" s="19">
        <v>44800.0</v>
      </c>
      <c r="J34" s="19">
        <v>44800.0</v>
      </c>
    </row>
    <row r="35">
      <c r="A35" s="12">
        <v>46223.46035298611</v>
      </c>
      <c r="B35" s="15" t="s">
        <v>141</v>
      </c>
      <c r="C35" s="15" t="s">
        <v>25</v>
      </c>
      <c r="D35" s="15" t="s">
        <v>142</v>
      </c>
      <c r="E35" s="15" t="s">
        <v>222</v>
      </c>
      <c r="F35" s="15" t="s">
        <v>195</v>
      </c>
      <c r="G35" s="17">
        <v>46206.0</v>
      </c>
      <c r="H35" s="19">
        <v>27.0</v>
      </c>
      <c r="I35" s="19">
        <v>44800.0</v>
      </c>
      <c r="J35" s="19">
        <v>44800.0</v>
      </c>
    </row>
    <row r="36">
      <c r="A36" s="12">
        <v>46223.461790104164</v>
      </c>
      <c r="B36" s="15" t="s">
        <v>141</v>
      </c>
      <c r="C36" s="15" t="s">
        <v>25</v>
      </c>
      <c r="D36" s="15" t="s">
        <v>142</v>
      </c>
      <c r="E36" s="15" t="s">
        <v>228</v>
      </c>
      <c r="F36" s="15" t="s">
        <v>195</v>
      </c>
      <c r="G36" s="17">
        <v>46209.0</v>
      </c>
      <c r="H36" s="19">
        <v>27.0</v>
      </c>
      <c r="I36" s="19">
        <v>44800.0</v>
      </c>
      <c r="J36" s="19">
        <v>44800.0</v>
      </c>
    </row>
    <row r="37">
      <c r="A37" s="12">
        <v>46223.46305158565</v>
      </c>
      <c r="B37" s="15" t="s">
        <v>141</v>
      </c>
      <c r="C37" s="15" t="s">
        <v>25</v>
      </c>
      <c r="D37" s="15" t="s">
        <v>142</v>
      </c>
      <c r="E37" s="15" t="s">
        <v>231</v>
      </c>
      <c r="F37" s="15" t="s">
        <v>195</v>
      </c>
      <c r="G37" s="17">
        <v>46210.0</v>
      </c>
      <c r="H37" s="19">
        <v>27.0</v>
      </c>
      <c r="I37" s="19">
        <v>44800.0</v>
      </c>
      <c r="J37" s="19">
        <v>44800.0</v>
      </c>
    </row>
    <row r="38">
      <c r="A38" s="12">
        <v>46223.561125312495</v>
      </c>
      <c r="B38" s="15" t="s">
        <v>234</v>
      </c>
      <c r="C38" s="15" t="s">
        <v>25</v>
      </c>
      <c r="D38" s="15" t="s">
        <v>127</v>
      </c>
      <c r="E38" s="15" t="s">
        <v>237</v>
      </c>
      <c r="F38" s="15" t="s">
        <v>238</v>
      </c>
      <c r="G38" s="17">
        <v>46197.0</v>
      </c>
      <c r="H38" s="19">
        <v>30.0</v>
      </c>
      <c r="I38" s="19">
        <v>222950.0</v>
      </c>
      <c r="J38" s="19">
        <v>187870.0</v>
      </c>
    </row>
    <row r="39">
      <c r="A39" s="12">
        <v>46223.56692859954</v>
      </c>
      <c r="B39" s="15" t="s">
        <v>234</v>
      </c>
      <c r="C39" s="15" t="s">
        <v>25</v>
      </c>
      <c r="D39" s="15" t="s">
        <v>127</v>
      </c>
      <c r="E39" s="15" t="s">
        <v>242</v>
      </c>
      <c r="F39" s="15" t="s">
        <v>243</v>
      </c>
      <c r="G39" s="17">
        <v>46211.0</v>
      </c>
      <c r="H39" s="19">
        <v>121.0</v>
      </c>
      <c r="I39" s="19">
        <v>292600.0</v>
      </c>
      <c r="J39" s="19">
        <v>235045.0</v>
      </c>
    </row>
    <row r="40">
      <c r="A40" s="12">
        <v>46230.4188340625</v>
      </c>
      <c r="B40" s="15" t="s">
        <v>246</v>
      </c>
      <c r="C40" s="15" t="s">
        <v>25</v>
      </c>
      <c r="D40" s="15" t="s">
        <v>247</v>
      </c>
      <c r="E40" s="15" t="s">
        <v>248</v>
      </c>
      <c r="F40" s="15" t="s">
        <v>251</v>
      </c>
      <c r="G40" s="17">
        <v>46062.0</v>
      </c>
      <c r="H40" s="19">
        <v>115.0</v>
      </c>
      <c r="I40" s="19">
        <v>23900.0</v>
      </c>
      <c r="J40" s="19">
        <v>23900.0</v>
      </c>
    </row>
    <row r="41">
      <c r="A41" s="12">
        <v>46230.422085266204</v>
      </c>
      <c r="B41" s="15" t="s">
        <v>246</v>
      </c>
      <c r="C41" s="15" t="s">
        <v>25</v>
      </c>
      <c r="D41" s="15" t="s">
        <v>247</v>
      </c>
      <c r="E41" s="15" t="s">
        <v>256</v>
      </c>
      <c r="F41" s="15" t="s">
        <v>257</v>
      </c>
      <c r="G41" s="17">
        <v>46070.0</v>
      </c>
      <c r="H41" s="19">
        <v>10.0</v>
      </c>
      <c r="I41" s="19">
        <v>29000.0</v>
      </c>
      <c r="J41" s="19">
        <v>29000.0</v>
      </c>
    </row>
    <row r="42">
      <c r="A42" s="12">
        <v>46230.4266583912</v>
      </c>
      <c r="B42" s="15" t="s">
        <v>246</v>
      </c>
      <c r="C42" s="15" t="s">
        <v>25</v>
      </c>
      <c r="D42" s="15" t="s">
        <v>247</v>
      </c>
      <c r="E42" s="15" t="s">
        <v>262</v>
      </c>
      <c r="F42" s="15" t="s">
        <v>257</v>
      </c>
      <c r="G42" s="17">
        <v>46097.0</v>
      </c>
      <c r="H42" s="19">
        <v>83.0</v>
      </c>
      <c r="I42" s="19">
        <v>677000.0</v>
      </c>
      <c r="J42" s="19">
        <v>522090.0</v>
      </c>
    </row>
    <row r="43">
      <c r="A43" s="12">
        <v>46230.43058534722</v>
      </c>
      <c r="B43" s="15" t="s">
        <v>246</v>
      </c>
      <c r="C43" s="15" t="s">
        <v>25</v>
      </c>
      <c r="D43" s="15" t="s">
        <v>247</v>
      </c>
      <c r="E43" s="15" t="s">
        <v>266</v>
      </c>
      <c r="F43" s="15" t="s">
        <v>268</v>
      </c>
      <c r="G43" s="17">
        <v>46104.0</v>
      </c>
      <c r="H43" s="19">
        <v>86.0</v>
      </c>
      <c r="I43" s="19">
        <v>589050.0</v>
      </c>
      <c r="J43" s="19">
        <v>474730.0</v>
      </c>
    </row>
    <row r="44">
      <c r="A44" s="12">
        <v>46230.433425034724</v>
      </c>
      <c r="B44" s="15" t="s">
        <v>246</v>
      </c>
      <c r="C44" s="15" t="s">
        <v>25</v>
      </c>
      <c r="D44" s="15" t="s">
        <v>247</v>
      </c>
      <c r="E44" s="15" t="s">
        <v>271</v>
      </c>
      <c r="F44" s="15" t="s">
        <v>257</v>
      </c>
      <c r="G44" s="17">
        <v>46150.0</v>
      </c>
      <c r="H44" s="19">
        <v>21.0</v>
      </c>
      <c r="I44" s="19">
        <v>97150.0</v>
      </c>
      <c r="J44" s="19">
        <v>75800.0</v>
      </c>
    </row>
    <row r="45">
      <c r="A45" s="12">
        <v>46230.43755905093</v>
      </c>
      <c r="B45" s="15" t="s">
        <v>246</v>
      </c>
      <c r="C45" s="15" t="s">
        <v>25</v>
      </c>
      <c r="D45" s="15" t="s">
        <v>247</v>
      </c>
      <c r="E45" s="15" t="s">
        <v>276</v>
      </c>
      <c r="F45" s="15" t="s">
        <v>257</v>
      </c>
      <c r="G45" s="17">
        <v>46177.0</v>
      </c>
      <c r="H45" s="19">
        <v>91.0</v>
      </c>
      <c r="I45" s="19">
        <v>558950.0</v>
      </c>
      <c r="J45" s="19">
        <v>441095.0</v>
      </c>
    </row>
    <row r="46">
      <c r="A46" s="12">
        <v>46230.44070140047</v>
      </c>
      <c r="B46" s="15" t="s">
        <v>246</v>
      </c>
      <c r="C46" s="15" t="s">
        <v>25</v>
      </c>
      <c r="D46" s="15" t="s">
        <v>247</v>
      </c>
      <c r="E46" s="15" t="s">
        <v>278</v>
      </c>
      <c r="F46" s="15" t="s">
        <v>257</v>
      </c>
      <c r="G46" s="17">
        <v>46182.0</v>
      </c>
      <c r="H46" s="19">
        <v>103.0</v>
      </c>
      <c r="I46" s="19">
        <v>710700.0</v>
      </c>
      <c r="J46" s="19">
        <v>522410.0</v>
      </c>
    </row>
    <row r="47">
      <c r="A47" s="12">
        <v>46230.4438428588</v>
      </c>
      <c r="B47" s="15" t="s">
        <v>246</v>
      </c>
      <c r="C47" s="15" t="s">
        <v>25</v>
      </c>
      <c r="D47" s="15" t="s">
        <v>247</v>
      </c>
      <c r="E47" s="15" t="s">
        <v>281</v>
      </c>
      <c r="F47" s="15" t="s">
        <v>257</v>
      </c>
      <c r="G47" s="17">
        <v>46196.0</v>
      </c>
      <c r="H47" s="19">
        <v>90.0</v>
      </c>
      <c r="I47" s="19">
        <v>655700.0</v>
      </c>
      <c r="J47" s="19">
        <v>521740.0</v>
      </c>
    </row>
    <row r="48">
      <c r="A48" s="12">
        <v>46230.44860710648</v>
      </c>
      <c r="B48" s="15" t="s">
        <v>246</v>
      </c>
      <c r="C48" s="15" t="s">
        <v>25</v>
      </c>
      <c r="D48" s="15" t="s">
        <v>247</v>
      </c>
      <c r="E48" s="15" t="s">
        <v>287</v>
      </c>
      <c r="F48" s="15" t="s">
        <v>288</v>
      </c>
      <c r="G48" s="17">
        <v>46210.0</v>
      </c>
      <c r="H48" s="19">
        <v>202.0</v>
      </c>
      <c r="I48" s="19">
        <v>338550.0</v>
      </c>
      <c r="J48" s="19">
        <v>156425.0</v>
      </c>
    </row>
    <row r="49">
      <c r="A49" s="12">
        <v>46230.45059570602</v>
      </c>
      <c r="B49" s="15" t="s">
        <v>246</v>
      </c>
      <c r="C49" s="15" t="s">
        <v>25</v>
      </c>
      <c r="D49" s="15" t="s">
        <v>247</v>
      </c>
      <c r="E49" s="15" t="s">
        <v>287</v>
      </c>
      <c r="F49" s="15" t="s">
        <v>292</v>
      </c>
      <c r="G49" s="17">
        <v>46210.0</v>
      </c>
      <c r="H49" s="19">
        <v>214.0</v>
      </c>
      <c r="I49" s="19">
        <v>328850.0</v>
      </c>
      <c r="J49" s="19">
        <v>154100.0</v>
      </c>
    </row>
    <row r="50">
      <c r="A50" s="12">
        <v>46230.452731944446</v>
      </c>
      <c r="B50" s="15" t="s">
        <v>246</v>
      </c>
      <c r="C50" s="15" t="s">
        <v>25</v>
      </c>
      <c r="D50" s="15" t="s">
        <v>247</v>
      </c>
      <c r="E50" s="15" t="s">
        <v>298</v>
      </c>
      <c r="F50" s="15" t="s">
        <v>257</v>
      </c>
      <c r="G50" s="17">
        <v>46218.0</v>
      </c>
      <c r="H50" s="19">
        <v>71.0</v>
      </c>
      <c r="I50" s="19">
        <v>655700.0</v>
      </c>
      <c r="J50" s="19">
        <v>481145.0</v>
      </c>
    </row>
    <row r="51">
      <c r="A51" s="12">
        <v>46238.49534815972</v>
      </c>
      <c r="B51" s="15" t="s">
        <v>300</v>
      </c>
      <c r="C51" s="15" t="s">
        <v>25</v>
      </c>
      <c r="D51" s="15" t="s">
        <v>218</v>
      </c>
      <c r="E51" s="15" t="s">
        <v>303</v>
      </c>
      <c r="F51" s="15" t="s">
        <v>304</v>
      </c>
      <c r="G51" s="17">
        <v>46230.0</v>
      </c>
      <c r="H51" s="19">
        <v>60.0</v>
      </c>
      <c r="I51" s="19">
        <v>570625.0</v>
      </c>
      <c r="J51" s="19">
        <v>346950.0</v>
      </c>
    </row>
    <row r="52">
      <c r="A52" s="12">
        <v>46238.51305055556</v>
      </c>
      <c r="B52" s="15" t="s">
        <v>40</v>
      </c>
      <c r="C52" s="15" t="s">
        <v>25</v>
      </c>
      <c r="D52" s="15" t="s">
        <v>308</v>
      </c>
      <c r="E52" s="15" t="s">
        <v>309</v>
      </c>
      <c r="F52" s="15" t="s">
        <v>310</v>
      </c>
      <c r="G52" s="17">
        <v>46234.0</v>
      </c>
      <c r="H52" s="19">
        <v>33.0</v>
      </c>
      <c r="I52" s="19">
        <v>116230.0</v>
      </c>
      <c r="J52" s="19">
        <v>69175.0</v>
      </c>
    </row>
    <row r="53">
      <c r="A53" s="12">
        <v>46247.643658807865</v>
      </c>
      <c r="B53" s="15" t="s">
        <v>21</v>
      </c>
      <c r="C53" s="15" t="s">
        <v>25</v>
      </c>
      <c r="D53" s="15" t="s">
        <v>26</v>
      </c>
      <c r="E53" s="15" t="s">
        <v>314</v>
      </c>
      <c r="F53" s="15" t="s">
        <v>315</v>
      </c>
      <c r="G53" s="17">
        <v>46217.0</v>
      </c>
      <c r="H53" s="19">
        <v>0.0</v>
      </c>
      <c r="I53" s="19">
        <v>23075.0</v>
      </c>
      <c r="J53" s="19">
        <v>17500.0</v>
      </c>
    </row>
    <row r="54">
      <c r="A54" s="12">
        <v>46254.428395219904</v>
      </c>
      <c r="B54" s="15" t="s">
        <v>318</v>
      </c>
      <c r="C54" s="15" t="s">
        <v>25</v>
      </c>
      <c r="D54" s="15" t="s">
        <v>290</v>
      </c>
      <c r="E54" s="15" t="s">
        <v>319</v>
      </c>
      <c r="F54" s="15" t="s">
        <v>320</v>
      </c>
      <c r="G54" s="17">
        <v>46248.0</v>
      </c>
      <c r="H54" s="19">
        <v>117.0</v>
      </c>
      <c r="I54" s="19">
        <v>168476.88</v>
      </c>
      <c r="J54" s="19">
        <v>130876.88</v>
      </c>
    </row>
    <row r="55">
      <c r="A55" s="12">
        <v>46254.43369863426</v>
      </c>
      <c r="B55" s="15" t="s">
        <v>318</v>
      </c>
      <c r="C55" s="15" t="s">
        <v>25</v>
      </c>
      <c r="D55" s="15" t="s">
        <v>290</v>
      </c>
      <c r="E55" s="15" t="s">
        <v>319</v>
      </c>
      <c r="F55" s="15" t="s">
        <v>325</v>
      </c>
      <c r="G55" s="17">
        <v>46252.0</v>
      </c>
      <c r="H55" s="19">
        <v>117.0</v>
      </c>
      <c r="I55" s="19">
        <v>169476.88</v>
      </c>
      <c r="J55" s="19">
        <v>150876.88</v>
      </c>
    </row>
    <row r="56">
      <c r="A56" s="12">
        <v>46254.43772336806</v>
      </c>
      <c r="B56" s="15" t="s">
        <v>318</v>
      </c>
      <c r="C56" s="15" t="s">
        <v>25</v>
      </c>
      <c r="D56" s="15" t="s">
        <v>290</v>
      </c>
      <c r="E56" s="15" t="s">
        <v>319</v>
      </c>
      <c r="F56" s="15" t="s">
        <v>329</v>
      </c>
      <c r="G56" s="17">
        <v>46245.0</v>
      </c>
      <c r="H56" s="19">
        <v>150.0</v>
      </c>
      <c r="I56" s="19">
        <v>201495.88</v>
      </c>
      <c r="J56" s="19">
        <v>178895.88</v>
      </c>
    </row>
  </sheetData>
  <autoFilter ref="$A$1:$Z$5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9.13"/>
    <col customWidth="1" min="5" max="5" width="103.38"/>
    <col customWidth="1" min="8" max="8" width="14.0"/>
  </cols>
  <sheetData>
    <row r="1">
      <c r="A1" s="2" t="s">
        <v>2</v>
      </c>
      <c r="B1" s="2" t="s">
        <v>4</v>
      </c>
      <c r="C1" s="2" t="s">
        <v>5</v>
      </c>
      <c r="D1" s="13" t="s">
        <v>6</v>
      </c>
      <c r="E1" s="2" t="s">
        <v>3</v>
      </c>
      <c r="F1" s="2" t="s">
        <v>22</v>
      </c>
      <c r="G1" s="2" t="s">
        <v>23</v>
      </c>
      <c r="H1" s="16" t="s">
        <v>24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>
        <v>46156.517362928236</v>
      </c>
      <c r="B2" s="15" t="s">
        <v>40</v>
      </c>
      <c r="C2" s="15" t="s">
        <v>43</v>
      </c>
      <c r="D2" s="24" t="s">
        <v>44</v>
      </c>
      <c r="E2" s="15" t="s">
        <v>50</v>
      </c>
      <c r="F2" s="15">
        <v>1.0</v>
      </c>
      <c r="G2" s="17">
        <v>46153.0</v>
      </c>
      <c r="H2" s="28">
        <v>34104.0</v>
      </c>
    </row>
    <row r="3">
      <c r="A3" s="12">
        <v>46169.39448903935</v>
      </c>
      <c r="B3" s="15" t="s">
        <v>40</v>
      </c>
      <c r="C3" s="15" t="s">
        <v>43</v>
      </c>
      <c r="D3" s="24" t="s">
        <v>44</v>
      </c>
      <c r="E3" s="15" t="s">
        <v>58</v>
      </c>
      <c r="F3" s="32">
        <v>46055.0</v>
      </c>
      <c r="G3" s="17">
        <v>46164.0</v>
      </c>
      <c r="H3" s="28">
        <v>13328.0</v>
      </c>
    </row>
    <row r="4">
      <c r="A4" s="12">
        <v>46169.42599783565</v>
      </c>
      <c r="B4" s="15" t="s">
        <v>40</v>
      </c>
      <c r="C4" s="15" t="s">
        <v>43</v>
      </c>
      <c r="D4" s="24" t="s">
        <v>44</v>
      </c>
      <c r="E4" s="15" t="s">
        <v>67</v>
      </c>
      <c r="F4" s="15">
        <v>3.0</v>
      </c>
      <c r="G4" s="17">
        <v>46168.0</v>
      </c>
      <c r="H4" s="28">
        <v>19600.0</v>
      </c>
    </row>
    <row r="5">
      <c r="A5" s="12">
        <v>46198.45356122685</v>
      </c>
      <c r="B5" s="15" t="s">
        <v>40</v>
      </c>
      <c r="C5" s="15" t="s">
        <v>43</v>
      </c>
      <c r="D5" s="24" t="s">
        <v>44</v>
      </c>
      <c r="E5" s="15" t="s">
        <v>72</v>
      </c>
      <c r="F5" s="15">
        <v>4.0</v>
      </c>
      <c r="G5" s="17">
        <v>46181.0</v>
      </c>
      <c r="H5" s="28">
        <v>33781.0</v>
      </c>
    </row>
    <row r="6">
      <c r="A6" s="12">
        <v>46198.6416805787</v>
      </c>
      <c r="B6" s="15" t="s">
        <v>40</v>
      </c>
      <c r="C6" s="15" t="s">
        <v>43</v>
      </c>
      <c r="D6" s="24" t="s">
        <v>44</v>
      </c>
      <c r="E6" s="15" t="s">
        <v>78</v>
      </c>
      <c r="F6" s="15">
        <v>5.0</v>
      </c>
      <c r="G6" s="17">
        <v>46188.0</v>
      </c>
      <c r="H6" s="28">
        <v>40293.0</v>
      </c>
    </row>
    <row r="7">
      <c r="A7" s="12">
        <v>46222.65106069444</v>
      </c>
      <c r="B7" s="15" t="s">
        <v>81</v>
      </c>
      <c r="C7" s="15" t="s">
        <v>83</v>
      </c>
      <c r="D7" s="24" t="s">
        <v>84</v>
      </c>
      <c r="E7" s="15" t="s">
        <v>85</v>
      </c>
      <c r="F7" s="15">
        <v>2026.0</v>
      </c>
      <c r="G7" s="17">
        <v>46029.0</v>
      </c>
      <c r="H7" s="28">
        <v>1.51476078E8</v>
      </c>
    </row>
    <row r="8">
      <c r="B8" s="15" t="s">
        <v>81</v>
      </c>
      <c r="C8" s="15" t="s">
        <v>88</v>
      </c>
      <c r="D8" s="24" t="s">
        <v>90</v>
      </c>
      <c r="E8" s="15" t="s">
        <v>91</v>
      </c>
      <c r="F8" s="15">
        <v>1.0</v>
      </c>
      <c r="H8" s="28">
        <v>4.08225E7</v>
      </c>
    </row>
    <row r="9">
      <c r="A9" s="12">
        <v>46223.52663627315</v>
      </c>
      <c r="B9" s="15" t="s">
        <v>81</v>
      </c>
      <c r="C9" s="15" t="s">
        <v>30</v>
      </c>
      <c r="D9" s="24" t="s">
        <v>93</v>
      </c>
      <c r="E9" s="15" t="s">
        <v>94</v>
      </c>
      <c r="F9" s="15">
        <v>1.0</v>
      </c>
      <c r="G9" s="17">
        <v>46223.0</v>
      </c>
      <c r="H9" s="28">
        <v>3.63017413814E9</v>
      </c>
    </row>
    <row r="10">
      <c r="A10" s="12">
        <v>46223.52793591435</v>
      </c>
      <c r="B10" s="15" t="s">
        <v>81</v>
      </c>
      <c r="C10" s="15" t="s">
        <v>35</v>
      </c>
      <c r="D10" s="24" t="s">
        <v>98</v>
      </c>
      <c r="E10" s="15" t="s">
        <v>99</v>
      </c>
      <c r="F10" s="15">
        <v>2.0</v>
      </c>
      <c r="G10" s="17">
        <v>46223.0</v>
      </c>
      <c r="H10" s="28">
        <v>9.0849167123E8</v>
      </c>
    </row>
    <row r="11" ht="18.75" customHeight="1">
      <c r="A11" s="12">
        <v>46223.528518506944</v>
      </c>
      <c r="B11" s="15" t="s">
        <v>81</v>
      </c>
      <c r="C11" s="15" t="s">
        <v>42</v>
      </c>
      <c r="D11" s="24" t="s">
        <v>104</v>
      </c>
      <c r="E11" s="15" t="s">
        <v>105</v>
      </c>
      <c r="F11" s="15">
        <v>3.0</v>
      </c>
      <c r="G11" s="17">
        <v>46223.0</v>
      </c>
      <c r="H11" s="28">
        <v>1.281745795E7</v>
      </c>
    </row>
    <row r="12">
      <c r="A12" s="12">
        <v>46223.52914054398</v>
      </c>
      <c r="B12" s="15" t="s">
        <v>81</v>
      </c>
      <c r="C12" s="15" t="s">
        <v>49</v>
      </c>
      <c r="D12" s="24" t="s">
        <v>111</v>
      </c>
      <c r="E12" s="15" t="s">
        <v>113</v>
      </c>
      <c r="F12" s="15">
        <v>4.0</v>
      </c>
      <c r="G12" s="17">
        <v>46223.0</v>
      </c>
      <c r="H12" s="28">
        <v>1875839.0</v>
      </c>
    </row>
    <row r="13">
      <c r="A13" s="12">
        <v>46223.52979789352</v>
      </c>
      <c r="B13" s="15" t="s">
        <v>81</v>
      </c>
      <c r="C13" s="15" t="s">
        <v>43</v>
      </c>
      <c r="D13" s="24" t="s">
        <v>44</v>
      </c>
      <c r="E13" s="15" t="s">
        <v>117</v>
      </c>
      <c r="F13" s="15">
        <v>5.0</v>
      </c>
      <c r="G13" s="17">
        <v>46223.0</v>
      </c>
      <c r="H13" s="28">
        <v>475042.0</v>
      </c>
    </row>
    <row r="14">
      <c r="A14" s="12">
        <v>46223.530918495366</v>
      </c>
      <c r="B14" s="15" t="s">
        <v>81</v>
      </c>
      <c r="C14" s="15" t="s">
        <v>82</v>
      </c>
      <c r="D14" s="24" t="s">
        <v>124</v>
      </c>
      <c r="E14" s="15" t="s">
        <v>125</v>
      </c>
      <c r="F14" s="15">
        <v>6.0</v>
      </c>
      <c r="G14" s="17">
        <v>46223.0</v>
      </c>
      <c r="H14" s="28">
        <v>3989013.1</v>
      </c>
    </row>
    <row r="15">
      <c r="A15" s="12">
        <v>46223.57045180556</v>
      </c>
      <c r="B15" s="15" t="s">
        <v>81</v>
      </c>
      <c r="C15" s="15" t="s">
        <v>132</v>
      </c>
      <c r="D15" s="24" t="s">
        <v>135</v>
      </c>
      <c r="E15" s="15" t="s">
        <v>125</v>
      </c>
      <c r="F15" s="15">
        <v>8.0</v>
      </c>
      <c r="G15" s="17">
        <v>46223.0</v>
      </c>
      <c r="H15" s="28">
        <v>2948956.6</v>
      </c>
    </row>
    <row r="16">
      <c r="D16" s="57"/>
      <c r="H16" s="58"/>
    </row>
    <row r="17">
      <c r="D17" s="57"/>
      <c r="H17" s="58"/>
    </row>
    <row r="18">
      <c r="D18" s="57"/>
      <c r="H18" s="58"/>
    </row>
    <row r="19">
      <c r="D19" s="57"/>
      <c r="H19" s="58"/>
    </row>
    <row r="20">
      <c r="D20" s="57"/>
      <c r="H20" s="58"/>
    </row>
    <row r="21">
      <c r="D21" s="57"/>
      <c r="H21" s="58"/>
    </row>
    <row r="22">
      <c r="D22" s="57"/>
      <c r="H22" s="58"/>
    </row>
    <row r="23">
      <c r="D23" s="57"/>
      <c r="H23" s="58"/>
    </row>
    <row r="24">
      <c r="D24" s="57"/>
      <c r="H24" s="58"/>
    </row>
    <row r="25">
      <c r="D25" s="57"/>
      <c r="H25" s="58"/>
    </row>
    <row r="26">
      <c r="D26" s="57"/>
      <c r="H26" s="58"/>
    </row>
    <row r="27">
      <c r="D27" s="57"/>
      <c r="H27" s="58"/>
    </row>
    <row r="28">
      <c r="D28" s="57"/>
      <c r="H28" s="58"/>
    </row>
    <row r="29">
      <c r="D29" s="57"/>
      <c r="H29" s="58"/>
    </row>
    <row r="30">
      <c r="D30" s="57"/>
      <c r="H30" s="58"/>
    </row>
    <row r="31">
      <c r="D31" s="57"/>
      <c r="H31" s="58"/>
    </row>
    <row r="32">
      <c r="D32" s="57"/>
      <c r="H32" s="58"/>
    </row>
    <row r="33">
      <c r="D33" s="57"/>
      <c r="H33" s="58"/>
    </row>
    <row r="34">
      <c r="D34" s="57"/>
      <c r="H34" s="58"/>
    </row>
    <row r="35">
      <c r="D35" s="57"/>
      <c r="H35" s="58"/>
    </row>
    <row r="36">
      <c r="D36" s="57"/>
      <c r="H36" s="58"/>
    </row>
    <row r="37">
      <c r="D37" s="57"/>
      <c r="H37" s="58"/>
    </row>
    <row r="38">
      <c r="D38" s="57"/>
      <c r="H38" s="58"/>
    </row>
    <row r="39">
      <c r="D39" s="57"/>
      <c r="H39" s="58"/>
    </row>
    <row r="40">
      <c r="D40" s="57"/>
      <c r="H40" s="58"/>
    </row>
    <row r="41">
      <c r="D41" s="57"/>
      <c r="H41" s="58"/>
    </row>
    <row r="42">
      <c r="D42" s="57"/>
      <c r="H42" s="58"/>
    </row>
    <row r="43">
      <c r="D43" s="57"/>
      <c r="H43" s="58"/>
    </row>
    <row r="44">
      <c r="D44" s="57"/>
      <c r="H44" s="58"/>
    </row>
    <row r="45">
      <c r="D45" s="57"/>
      <c r="H45" s="58"/>
    </row>
    <row r="46">
      <c r="D46" s="57"/>
      <c r="H46" s="58"/>
    </row>
    <row r="47">
      <c r="D47" s="57"/>
      <c r="H47" s="58"/>
    </row>
    <row r="48">
      <c r="D48" s="57"/>
      <c r="H48" s="58"/>
    </row>
    <row r="49">
      <c r="D49" s="57"/>
      <c r="H49" s="58"/>
    </row>
    <row r="50">
      <c r="D50" s="57"/>
      <c r="H50" s="58"/>
    </row>
    <row r="51">
      <c r="D51" s="57"/>
      <c r="H51" s="58"/>
    </row>
    <row r="52">
      <c r="D52" s="57"/>
      <c r="H52" s="58"/>
    </row>
    <row r="53">
      <c r="D53" s="57"/>
      <c r="H53" s="58"/>
    </row>
    <row r="54">
      <c r="D54" s="57"/>
      <c r="H54" s="58"/>
    </row>
    <row r="55">
      <c r="D55" s="57"/>
      <c r="H55" s="58"/>
    </row>
    <row r="56">
      <c r="D56" s="57"/>
      <c r="H56" s="58"/>
    </row>
    <row r="57">
      <c r="D57" s="57"/>
      <c r="H57" s="58"/>
    </row>
    <row r="58">
      <c r="D58" s="57"/>
      <c r="H58" s="58"/>
    </row>
    <row r="59">
      <c r="D59" s="57"/>
      <c r="H59" s="58"/>
    </row>
    <row r="60">
      <c r="D60" s="57"/>
      <c r="H60" s="58"/>
    </row>
    <row r="61">
      <c r="D61" s="57"/>
      <c r="H61" s="58"/>
    </row>
    <row r="62">
      <c r="D62" s="57"/>
      <c r="H62" s="58"/>
    </row>
    <row r="63">
      <c r="D63" s="57"/>
      <c r="H63" s="58"/>
    </row>
    <row r="64">
      <c r="D64" s="57"/>
      <c r="H64" s="58"/>
    </row>
    <row r="65">
      <c r="D65" s="57"/>
      <c r="H65" s="58"/>
    </row>
    <row r="66">
      <c r="D66" s="57"/>
      <c r="H66" s="58"/>
    </row>
    <row r="67">
      <c r="D67" s="57"/>
      <c r="H67" s="58"/>
    </row>
    <row r="68">
      <c r="D68" s="57"/>
      <c r="H68" s="58"/>
    </row>
    <row r="69">
      <c r="D69" s="57"/>
      <c r="H69" s="58"/>
    </row>
    <row r="70">
      <c r="D70" s="57"/>
      <c r="H70" s="58"/>
    </row>
    <row r="71">
      <c r="D71" s="57"/>
      <c r="H71" s="58"/>
    </row>
    <row r="72">
      <c r="D72" s="57"/>
      <c r="H72" s="58"/>
    </row>
    <row r="73">
      <c r="D73" s="57"/>
      <c r="H73" s="58"/>
    </row>
    <row r="74">
      <c r="D74" s="57"/>
      <c r="H74" s="58"/>
    </row>
    <row r="75">
      <c r="D75" s="57"/>
      <c r="H75" s="58"/>
    </row>
    <row r="76">
      <c r="D76" s="57"/>
      <c r="H76" s="58"/>
    </row>
    <row r="77">
      <c r="D77" s="57"/>
      <c r="H77" s="58"/>
    </row>
    <row r="78">
      <c r="D78" s="57"/>
      <c r="H78" s="58"/>
    </row>
    <row r="79">
      <c r="D79" s="57"/>
      <c r="H79" s="58"/>
    </row>
    <row r="80">
      <c r="D80" s="57"/>
      <c r="H80" s="58"/>
    </row>
    <row r="81">
      <c r="D81" s="57"/>
      <c r="H81" s="58"/>
    </row>
    <row r="82">
      <c r="D82" s="57"/>
      <c r="H82" s="58"/>
    </row>
    <row r="83">
      <c r="D83" s="57"/>
      <c r="H83" s="58"/>
    </row>
    <row r="84">
      <c r="D84" s="57"/>
      <c r="H84" s="58"/>
    </row>
    <row r="85">
      <c r="D85" s="57"/>
      <c r="H85" s="58"/>
    </row>
    <row r="86">
      <c r="D86" s="57"/>
      <c r="H86" s="58"/>
    </row>
    <row r="87">
      <c r="D87" s="57"/>
      <c r="H87" s="58"/>
    </row>
    <row r="88">
      <c r="D88" s="57"/>
      <c r="H88" s="58"/>
    </row>
    <row r="89">
      <c r="D89" s="57"/>
      <c r="H89" s="58"/>
    </row>
    <row r="90">
      <c r="D90" s="57"/>
      <c r="H90" s="58"/>
    </row>
    <row r="91">
      <c r="D91" s="57"/>
      <c r="H91" s="58"/>
    </row>
    <row r="92">
      <c r="D92" s="57"/>
      <c r="H92" s="58"/>
    </row>
    <row r="93">
      <c r="D93" s="57"/>
      <c r="H93" s="58"/>
    </row>
    <row r="94">
      <c r="D94" s="57"/>
      <c r="H94" s="58"/>
    </row>
    <row r="95">
      <c r="D95" s="57"/>
      <c r="H95" s="58"/>
    </row>
    <row r="96">
      <c r="D96" s="57"/>
      <c r="H96" s="58"/>
    </row>
    <row r="97">
      <c r="D97" s="57"/>
      <c r="H97" s="58"/>
    </row>
    <row r="98">
      <c r="D98" s="57"/>
      <c r="H98" s="58"/>
    </row>
    <row r="99">
      <c r="D99" s="57"/>
      <c r="H99" s="58"/>
    </row>
    <row r="100">
      <c r="D100" s="57"/>
      <c r="H100" s="58"/>
    </row>
    <row r="101">
      <c r="D101" s="57"/>
      <c r="H101" s="58"/>
    </row>
    <row r="102">
      <c r="D102" s="57"/>
      <c r="H102" s="58"/>
    </row>
    <row r="103">
      <c r="D103" s="57"/>
      <c r="H103" s="58"/>
    </row>
    <row r="104">
      <c r="D104" s="57"/>
      <c r="H104" s="58"/>
    </row>
    <row r="105">
      <c r="D105" s="57"/>
      <c r="H105" s="58"/>
    </row>
    <row r="106">
      <c r="D106" s="57"/>
      <c r="H106" s="58"/>
    </row>
    <row r="107">
      <c r="D107" s="57"/>
      <c r="H107" s="58"/>
    </row>
    <row r="108">
      <c r="D108" s="57"/>
      <c r="H108" s="58"/>
    </row>
    <row r="109">
      <c r="D109" s="57"/>
      <c r="H109" s="58"/>
    </row>
    <row r="110">
      <c r="D110" s="57"/>
      <c r="H110" s="58"/>
    </row>
    <row r="111">
      <c r="D111" s="57"/>
      <c r="H111" s="58"/>
    </row>
    <row r="112">
      <c r="D112" s="57"/>
      <c r="H112" s="58"/>
    </row>
    <row r="113">
      <c r="D113" s="57"/>
      <c r="H113" s="58"/>
    </row>
    <row r="114">
      <c r="D114" s="57"/>
      <c r="H114" s="58"/>
    </row>
    <row r="115">
      <c r="D115" s="57"/>
      <c r="H115" s="58"/>
    </row>
    <row r="116">
      <c r="D116" s="57"/>
      <c r="H116" s="58"/>
    </row>
    <row r="117">
      <c r="D117" s="57"/>
      <c r="H117" s="58"/>
    </row>
    <row r="118">
      <c r="D118" s="57"/>
      <c r="H118" s="58"/>
    </row>
    <row r="119">
      <c r="D119" s="57"/>
      <c r="H119" s="58"/>
    </row>
    <row r="120">
      <c r="D120" s="57"/>
      <c r="H120" s="58"/>
    </row>
    <row r="121">
      <c r="D121" s="57"/>
      <c r="H121" s="58"/>
    </row>
    <row r="122">
      <c r="D122" s="57"/>
      <c r="H122" s="58"/>
    </row>
    <row r="123">
      <c r="D123" s="57"/>
      <c r="H123" s="58"/>
    </row>
    <row r="124">
      <c r="D124" s="57"/>
      <c r="H124" s="58"/>
    </row>
    <row r="125">
      <c r="D125" s="57"/>
      <c r="H125" s="58"/>
    </row>
    <row r="126">
      <c r="D126" s="57"/>
      <c r="H126" s="58"/>
    </row>
    <row r="127">
      <c r="D127" s="57"/>
      <c r="H127" s="58"/>
    </row>
    <row r="128">
      <c r="D128" s="57"/>
      <c r="H128" s="58"/>
    </row>
    <row r="129">
      <c r="D129" s="57"/>
      <c r="H129" s="58"/>
    </row>
    <row r="130">
      <c r="D130" s="57"/>
      <c r="H130" s="58"/>
    </row>
    <row r="131">
      <c r="D131" s="57"/>
      <c r="H131" s="58"/>
    </row>
    <row r="132">
      <c r="D132" s="57"/>
      <c r="H132" s="58"/>
    </row>
    <row r="133">
      <c r="D133" s="57"/>
      <c r="H133" s="58"/>
    </row>
    <row r="134">
      <c r="D134" s="57"/>
      <c r="H134" s="58"/>
    </row>
    <row r="135">
      <c r="D135" s="57"/>
      <c r="H135" s="58"/>
    </row>
    <row r="136">
      <c r="D136" s="57"/>
      <c r="H136" s="58"/>
    </row>
    <row r="137">
      <c r="D137" s="57"/>
      <c r="H137" s="58"/>
    </row>
    <row r="138">
      <c r="D138" s="57"/>
      <c r="H138" s="58"/>
    </row>
    <row r="139">
      <c r="D139" s="57"/>
      <c r="H139" s="58"/>
    </row>
    <row r="140">
      <c r="D140" s="57"/>
      <c r="H140" s="58"/>
    </row>
    <row r="141">
      <c r="D141" s="57"/>
      <c r="H141" s="58"/>
    </row>
    <row r="142">
      <c r="D142" s="57"/>
      <c r="H142" s="58"/>
    </row>
    <row r="143">
      <c r="D143" s="57"/>
      <c r="H143" s="58"/>
    </row>
    <row r="144">
      <c r="D144" s="57"/>
      <c r="H144" s="58"/>
    </row>
    <row r="145">
      <c r="D145" s="57"/>
      <c r="H145" s="58"/>
    </row>
    <row r="146">
      <c r="D146" s="57"/>
      <c r="H146" s="58"/>
    </row>
    <row r="147">
      <c r="D147" s="57"/>
      <c r="H147" s="58"/>
    </row>
    <row r="148">
      <c r="D148" s="57"/>
      <c r="H148" s="58"/>
    </row>
    <row r="149">
      <c r="D149" s="57"/>
      <c r="H149" s="58"/>
    </row>
    <row r="150">
      <c r="D150" s="57"/>
      <c r="H150" s="58"/>
    </row>
    <row r="151">
      <c r="D151" s="57"/>
      <c r="H151" s="58"/>
    </row>
    <row r="152">
      <c r="D152" s="57"/>
      <c r="H152" s="58"/>
    </row>
    <row r="153">
      <c r="D153" s="57"/>
      <c r="H153" s="58"/>
    </row>
    <row r="154">
      <c r="D154" s="57"/>
      <c r="H154" s="58"/>
    </row>
    <row r="155">
      <c r="D155" s="57"/>
      <c r="H155" s="58"/>
    </row>
    <row r="156">
      <c r="D156" s="57"/>
      <c r="H156" s="58"/>
    </row>
    <row r="157">
      <c r="D157" s="57"/>
      <c r="H157" s="58"/>
    </row>
    <row r="158">
      <c r="D158" s="57"/>
      <c r="H158" s="58"/>
    </row>
    <row r="159">
      <c r="D159" s="57"/>
      <c r="H159" s="58"/>
    </row>
    <row r="160">
      <c r="D160" s="57"/>
      <c r="H160" s="58"/>
    </row>
    <row r="161">
      <c r="D161" s="57"/>
      <c r="H161" s="58"/>
    </row>
    <row r="162">
      <c r="D162" s="57"/>
      <c r="H162" s="58"/>
    </row>
    <row r="163">
      <c r="D163" s="57"/>
      <c r="H163" s="58"/>
    </row>
    <row r="164">
      <c r="D164" s="57"/>
      <c r="H164" s="58"/>
    </row>
    <row r="165">
      <c r="D165" s="57"/>
      <c r="H165" s="58"/>
    </row>
    <row r="166">
      <c r="D166" s="57"/>
      <c r="H166" s="58"/>
    </row>
    <row r="167">
      <c r="D167" s="57"/>
      <c r="H167" s="58"/>
    </row>
    <row r="168">
      <c r="D168" s="57"/>
      <c r="H168" s="58"/>
    </row>
    <row r="169">
      <c r="D169" s="57"/>
      <c r="H169" s="58"/>
    </row>
    <row r="170">
      <c r="D170" s="57"/>
      <c r="H170" s="58"/>
    </row>
    <row r="171">
      <c r="D171" s="57"/>
      <c r="H171" s="58"/>
    </row>
    <row r="172">
      <c r="D172" s="57"/>
      <c r="H172" s="58"/>
    </row>
    <row r="173">
      <c r="D173" s="57"/>
      <c r="H173" s="58"/>
    </row>
    <row r="174">
      <c r="D174" s="57"/>
      <c r="H174" s="58"/>
    </row>
    <row r="175">
      <c r="D175" s="57"/>
      <c r="H175" s="58"/>
    </row>
    <row r="176">
      <c r="D176" s="57"/>
      <c r="H176" s="58"/>
    </row>
    <row r="177">
      <c r="D177" s="57"/>
      <c r="H177" s="58"/>
    </row>
    <row r="178">
      <c r="D178" s="57"/>
      <c r="H178" s="58"/>
    </row>
    <row r="179">
      <c r="D179" s="57"/>
      <c r="H179" s="58"/>
    </row>
    <row r="180">
      <c r="D180" s="57"/>
      <c r="H180" s="58"/>
    </row>
    <row r="181">
      <c r="D181" s="57"/>
      <c r="H181" s="58"/>
    </row>
    <row r="182">
      <c r="D182" s="57"/>
      <c r="H182" s="58"/>
    </row>
    <row r="183">
      <c r="D183" s="57"/>
      <c r="H183" s="58"/>
    </row>
    <row r="184">
      <c r="D184" s="57"/>
      <c r="H184" s="58"/>
    </row>
    <row r="185">
      <c r="D185" s="57"/>
      <c r="H185" s="58"/>
    </row>
    <row r="186">
      <c r="D186" s="57"/>
      <c r="H186" s="58"/>
    </row>
    <row r="187">
      <c r="D187" s="57"/>
      <c r="H187" s="58"/>
    </row>
    <row r="188">
      <c r="D188" s="57"/>
      <c r="H188" s="58"/>
    </row>
    <row r="189">
      <c r="D189" s="57"/>
      <c r="H189" s="58"/>
    </row>
    <row r="190">
      <c r="D190" s="57"/>
      <c r="H190" s="58"/>
    </row>
    <row r="191">
      <c r="D191" s="57"/>
      <c r="H191" s="58"/>
    </row>
    <row r="192">
      <c r="D192" s="57"/>
      <c r="H192" s="58"/>
    </row>
    <row r="193">
      <c r="D193" s="57"/>
      <c r="H193" s="58"/>
    </row>
    <row r="194">
      <c r="D194" s="57"/>
      <c r="H194" s="58"/>
    </row>
    <row r="195">
      <c r="D195" s="57"/>
      <c r="H195" s="58"/>
    </row>
    <row r="196">
      <c r="D196" s="57"/>
      <c r="H196" s="58"/>
    </row>
    <row r="197">
      <c r="D197" s="57"/>
      <c r="H197" s="58"/>
    </row>
    <row r="198">
      <c r="D198" s="57"/>
      <c r="H198" s="58"/>
    </row>
    <row r="199">
      <c r="D199" s="57"/>
      <c r="H199" s="58"/>
    </row>
    <row r="200">
      <c r="D200" s="57"/>
      <c r="H200" s="58"/>
    </row>
    <row r="201">
      <c r="D201" s="57"/>
      <c r="H201" s="58"/>
    </row>
    <row r="202">
      <c r="D202" s="57"/>
      <c r="H202" s="58"/>
    </row>
    <row r="203">
      <c r="D203" s="57"/>
      <c r="H203" s="58"/>
    </row>
    <row r="204">
      <c r="D204" s="57"/>
      <c r="H204" s="58"/>
    </row>
    <row r="205">
      <c r="D205" s="57"/>
      <c r="H205" s="58"/>
    </row>
    <row r="206">
      <c r="D206" s="57"/>
      <c r="H206" s="58"/>
    </row>
    <row r="207">
      <c r="D207" s="57"/>
      <c r="H207" s="58"/>
    </row>
    <row r="208">
      <c r="D208" s="57"/>
      <c r="H208" s="58"/>
    </row>
    <row r="209">
      <c r="D209" s="57"/>
      <c r="H209" s="58"/>
    </row>
    <row r="210">
      <c r="D210" s="57"/>
      <c r="H210" s="58"/>
    </row>
    <row r="211">
      <c r="D211" s="57"/>
      <c r="H211" s="58"/>
    </row>
    <row r="212">
      <c r="D212" s="57"/>
      <c r="H212" s="58"/>
    </row>
    <row r="213">
      <c r="D213" s="57"/>
      <c r="H213" s="58"/>
    </row>
    <row r="214">
      <c r="D214" s="57"/>
      <c r="H214" s="58"/>
    </row>
    <row r="215">
      <c r="D215" s="57"/>
      <c r="H215" s="58"/>
    </row>
    <row r="216">
      <c r="D216" s="57"/>
      <c r="H216" s="58"/>
    </row>
    <row r="217">
      <c r="D217" s="57"/>
      <c r="H217" s="58"/>
    </row>
    <row r="218">
      <c r="D218" s="57"/>
      <c r="H218" s="58"/>
    </row>
    <row r="219">
      <c r="D219" s="57"/>
      <c r="H219" s="58"/>
    </row>
    <row r="220">
      <c r="D220" s="57"/>
      <c r="H220" s="58"/>
    </row>
    <row r="221">
      <c r="D221" s="57"/>
      <c r="H221" s="58"/>
    </row>
    <row r="222">
      <c r="D222" s="57"/>
      <c r="H222" s="58"/>
    </row>
    <row r="223">
      <c r="D223" s="57"/>
      <c r="H223" s="58"/>
    </row>
    <row r="224">
      <c r="D224" s="57"/>
      <c r="H224" s="58"/>
    </row>
    <row r="225">
      <c r="D225" s="57"/>
      <c r="H225" s="58"/>
    </row>
    <row r="226">
      <c r="D226" s="57"/>
      <c r="H226" s="58"/>
    </row>
    <row r="227">
      <c r="D227" s="57"/>
      <c r="H227" s="58"/>
    </row>
    <row r="228">
      <c r="D228" s="57"/>
      <c r="H228" s="58"/>
    </row>
    <row r="229">
      <c r="D229" s="57"/>
      <c r="H229" s="58"/>
    </row>
    <row r="230">
      <c r="D230" s="57"/>
      <c r="H230" s="58"/>
    </row>
    <row r="231">
      <c r="D231" s="57"/>
      <c r="H231" s="58"/>
    </row>
    <row r="232">
      <c r="D232" s="57"/>
      <c r="H232" s="58"/>
    </row>
    <row r="233">
      <c r="D233" s="57"/>
      <c r="H233" s="58"/>
    </row>
    <row r="234">
      <c r="D234" s="57"/>
      <c r="H234" s="58"/>
    </row>
    <row r="235">
      <c r="D235" s="57"/>
      <c r="H235" s="58"/>
    </row>
    <row r="236">
      <c r="D236" s="57"/>
      <c r="H236" s="58"/>
    </row>
    <row r="237">
      <c r="D237" s="57"/>
      <c r="H237" s="58"/>
    </row>
    <row r="238">
      <c r="D238" s="57"/>
      <c r="H238" s="58"/>
    </row>
    <row r="239">
      <c r="D239" s="57"/>
      <c r="H239" s="58"/>
    </row>
    <row r="240">
      <c r="D240" s="57"/>
      <c r="H240" s="58"/>
    </row>
    <row r="241">
      <c r="D241" s="57"/>
      <c r="H241" s="58"/>
    </row>
    <row r="242">
      <c r="D242" s="57"/>
      <c r="H242" s="58"/>
    </row>
    <row r="243">
      <c r="D243" s="57"/>
      <c r="H243" s="58"/>
    </row>
    <row r="244">
      <c r="D244" s="57"/>
      <c r="H244" s="58"/>
    </row>
    <row r="245">
      <c r="D245" s="57"/>
      <c r="H245" s="58"/>
    </row>
    <row r="246">
      <c r="D246" s="57"/>
      <c r="H246" s="58"/>
    </row>
    <row r="247">
      <c r="D247" s="57"/>
      <c r="H247" s="58"/>
    </row>
    <row r="248">
      <c r="D248" s="57"/>
      <c r="H248" s="58"/>
    </row>
    <row r="249">
      <c r="D249" s="57"/>
      <c r="H249" s="58"/>
    </row>
    <row r="250">
      <c r="D250" s="57"/>
      <c r="H250" s="58"/>
    </row>
    <row r="251">
      <c r="D251" s="57"/>
      <c r="H251" s="58"/>
    </row>
    <row r="252">
      <c r="D252" s="57"/>
      <c r="H252" s="58"/>
    </row>
    <row r="253">
      <c r="D253" s="57"/>
      <c r="H253" s="58"/>
    </row>
    <row r="254">
      <c r="D254" s="57"/>
      <c r="H254" s="58"/>
    </row>
    <row r="255">
      <c r="D255" s="57"/>
      <c r="H255" s="58"/>
    </row>
    <row r="256">
      <c r="D256" s="57"/>
      <c r="H256" s="58"/>
    </row>
    <row r="257">
      <c r="D257" s="57"/>
      <c r="H257" s="58"/>
    </row>
    <row r="258">
      <c r="D258" s="57"/>
      <c r="H258" s="58"/>
    </row>
    <row r="259">
      <c r="D259" s="57"/>
      <c r="H259" s="58"/>
    </row>
    <row r="260">
      <c r="D260" s="57"/>
      <c r="H260" s="58"/>
    </row>
    <row r="261">
      <c r="D261" s="57"/>
      <c r="H261" s="58"/>
    </row>
    <row r="262">
      <c r="D262" s="57"/>
      <c r="H262" s="58"/>
    </row>
    <row r="263">
      <c r="D263" s="57"/>
      <c r="H263" s="58"/>
    </row>
    <row r="264">
      <c r="D264" s="57"/>
      <c r="H264" s="58"/>
    </row>
    <row r="265">
      <c r="D265" s="57"/>
      <c r="H265" s="58"/>
    </row>
    <row r="266">
      <c r="D266" s="57"/>
      <c r="H266" s="58"/>
    </row>
    <row r="267">
      <c r="D267" s="57"/>
      <c r="H267" s="58"/>
    </row>
    <row r="268">
      <c r="D268" s="57"/>
      <c r="H268" s="58"/>
    </row>
    <row r="269">
      <c r="D269" s="57"/>
      <c r="H269" s="58"/>
    </row>
    <row r="270">
      <c r="D270" s="57"/>
      <c r="H270" s="58"/>
    </row>
    <row r="271">
      <c r="D271" s="57"/>
      <c r="H271" s="58"/>
    </row>
    <row r="272">
      <c r="D272" s="57"/>
      <c r="H272" s="58"/>
    </row>
    <row r="273">
      <c r="D273" s="57"/>
      <c r="H273" s="58"/>
    </row>
    <row r="274">
      <c r="D274" s="57"/>
      <c r="H274" s="58"/>
    </row>
    <row r="275">
      <c r="D275" s="57"/>
      <c r="H275" s="58"/>
    </row>
    <row r="276">
      <c r="D276" s="57"/>
      <c r="H276" s="58"/>
    </row>
    <row r="277">
      <c r="D277" s="57"/>
      <c r="H277" s="58"/>
    </row>
    <row r="278">
      <c r="D278" s="57"/>
      <c r="H278" s="58"/>
    </row>
    <row r="279">
      <c r="D279" s="57"/>
      <c r="H279" s="58"/>
    </row>
    <row r="280">
      <c r="D280" s="57"/>
      <c r="H280" s="58"/>
    </row>
    <row r="281">
      <c r="D281" s="57"/>
      <c r="H281" s="58"/>
    </row>
    <row r="282">
      <c r="D282" s="57"/>
      <c r="H282" s="58"/>
    </row>
    <row r="283">
      <c r="D283" s="57"/>
      <c r="H283" s="58"/>
    </row>
    <row r="284">
      <c r="D284" s="57"/>
      <c r="H284" s="58"/>
    </row>
    <row r="285">
      <c r="D285" s="57"/>
      <c r="H285" s="58"/>
    </row>
    <row r="286">
      <c r="D286" s="57"/>
      <c r="H286" s="58"/>
    </row>
    <row r="287">
      <c r="D287" s="57"/>
      <c r="H287" s="58"/>
    </row>
    <row r="288">
      <c r="D288" s="57"/>
      <c r="H288" s="58"/>
    </row>
    <row r="289">
      <c r="D289" s="57"/>
      <c r="H289" s="58"/>
    </row>
    <row r="290">
      <c r="D290" s="57"/>
      <c r="H290" s="58"/>
    </row>
    <row r="291">
      <c r="D291" s="57"/>
      <c r="H291" s="58"/>
    </row>
    <row r="292">
      <c r="D292" s="57"/>
      <c r="H292" s="58"/>
    </row>
    <row r="293">
      <c r="D293" s="57"/>
      <c r="H293" s="58"/>
    </row>
    <row r="294">
      <c r="D294" s="57"/>
      <c r="H294" s="58"/>
    </row>
    <row r="295">
      <c r="D295" s="57"/>
      <c r="H295" s="58"/>
    </row>
    <row r="296">
      <c r="D296" s="57"/>
      <c r="H296" s="58"/>
    </row>
    <row r="297">
      <c r="D297" s="57"/>
      <c r="H297" s="58"/>
    </row>
    <row r="298">
      <c r="D298" s="57"/>
      <c r="H298" s="58"/>
    </row>
    <row r="299">
      <c r="D299" s="57"/>
      <c r="H299" s="58"/>
    </row>
    <row r="300">
      <c r="D300" s="57"/>
      <c r="H300" s="58"/>
    </row>
    <row r="301">
      <c r="D301" s="57"/>
      <c r="H301" s="58"/>
    </row>
    <row r="302">
      <c r="D302" s="57"/>
      <c r="H302" s="58"/>
    </row>
    <row r="303">
      <c r="D303" s="57"/>
      <c r="H303" s="58"/>
    </row>
    <row r="304">
      <c r="D304" s="57"/>
      <c r="H304" s="58"/>
    </row>
    <row r="305">
      <c r="D305" s="57"/>
      <c r="H305" s="58"/>
    </row>
    <row r="306">
      <c r="D306" s="57"/>
      <c r="H306" s="58"/>
    </row>
    <row r="307">
      <c r="D307" s="57"/>
      <c r="H307" s="58"/>
    </row>
    <row r="308">
      <c r="D308" s="57"/>
      <c r="H308" s="58"/>
    </row>
    <row r="309">
      <c r="D309" s="57"/>
      <c r="H309" s="58"/>
    </row>
    <row r="310">
      <c r="D310" s="57"/>
      <c r="H310" s="58"/>
    </row>
    <row r="311">
      <c r="D311" s="57"/>
      <c r="H311" s="58"/>
    </row>
    <row r="312">
      <c r="D312" s="57"/>
      <c r="H312" s="58"/>
    </row>
    <row r="313">
      <c r="D313" s="57"/>
      <c r="H313" s="58"/>
    </row>
    <row r="314">
      <c r="D314" s="57"/>
      <c r="H314" s="58"/>
    </row>
    <row r="315">
      <c r="D315" s="57"/>
      <c r="H315" s="58"/>
    </row>
    <row r="316">
      <c r="D316" s="57"/>
      <c r="H316" s="58"/>
    </row>
    <row r="317">
      <c r="D317" s="57"/>
      <c r="H317" s="58"/>
    </row>
    <row r="318">
      <c r="D318" s="57"/>
      <c r="H318" s="58"/>
    </row>
    <row r="319">
      <c r="D319" s="57"/>
      <c r="H319" s="58"/>
    </row>
    <row r="320">
      <c r="D320" s="57"/>
      <c r="H320" s="58"/>
    </row>
    <row r="321">
      <c r="D321" s="57"/>
      <c r="H321" s="58"/>
    </row>
    <row r="322">
      <c r="D322" s="57"/>
      <c r="H322" s="58"/>
    </row>
    <row r="323">
      <c r="D323" s="57"/>
      <c r="H323" s="58"/>
    </row>
    <row r="324">
      <c r="D324" s="57"/>
      <c r="H324" s="58"/>
    </row>
    <row r="325">
      <c r="D325" s="57"/>
      <c r="H325" s="58"/>
    </row>
    <row r="326">
      <c r="D326" s="57"/>
      <c r="H326" s="58"/>
    </row>
    <row r="327">
      <c r="D327" s="57"/>
      <c r="H327" s="58"/>
    </row>
    <row r="328">
      <c r="D328" s="57"/>
      <c r="H328" s="58"/>
    </row>
    <row r="329">
      <c r="D329" s="57"/>
      <c r="H329" s="58"/>
    </row>
    <row r="330">
      <c r="D330" s="57"/>
      <c r="H330" s="58"/>
    </row>
    <row r="331">
      <c r="D331" s="57"/>
      <c r="H331" s="58"/>
    </row>
    <row r="332">
      <c r="D332" s="57"/>
      <c r="H332" s="58"/>
    </row>
    <row r="333">
      <c r="D333" s="57"/>
      <c r="H333" s="58"/>
    </row>
    <row r="334">
      <c r="D334" s="57"/>
      <c r="H334" s="58"/>
    </row>
    <row r="335">
      <c r="D335" s="57"/>
      <c r="H335" s="58"/>
    </row>
    <row r="336">
      <c r="D336" s="57"/>
      <c r="H336" s="58"/>
    </row>
    <row r="337">
      <c r="D337" s="57"/>
      <c r="H337" s="58"/>
    </row>
    <row r="338">
      <c r="D338" s="57"/>
      <c r="H338" s="58"/>
    </row>
    <row r="339">
      <c r="D339" s="57"/>
      <c r="H339" s="58"/>
    </row>
    <row r="340">
      <c r="D340" s="57"/>
      <c r="H340" s="58"/>
    </row>
    <row r="341">
      <c r="D341" s="57"/>
      <c r="H341" s="58"/>
    </row>
    <row r="342">
      <c r="D342" s="57"/>
      <c r="H342" s="58"/>
    </row>
    <row r="343">
      <c r="D343" s="57"/>
      <c r="H343" s="58"/>
    </row>
    <row r="344">
      <c r="D344" s="57"/>
      <c r="H344" s="58"/>
    </row>
    <row r="345">
      <c r="D345" s="57"/>
      <c r="H345" s="58"/>
    </row>
    <row r="346">
      <c r="D346" s="57"/>
      <c r="H346" s="58"/>
    </row>
    <row r="347">
      <c r="D347" s="57"/>
      <c r="H347" s="58"/>
    </row>
    <row r="348">
      <c r="D348" s="57"/>
      <c r="H348" s="58"/>
    </row>
    <row r="349">
      <c r="D349" s="57"/>
      <c r="H349" s="58"/>
    </row>
    <row r="350">
      <c r="D350" s="57"/>
      <c r="H350" s="58"/>
    </row>
    <row r="351">
      <c r="D351" s="57"/>
      <c r="H351" s="58"/>
    </row>
    <row r="352">
      <c r="D352" s="57"/>
      <c r="H352" s="58"/>
    </row>
    <row r="353">
      <c r="D353" s="57"/>
      <c r="H353" s="58"/>
    </row>
    <row r="354">
      <c r="D354" s="57"/>
      <c r="H354" s="58"/>
    </row>
    <row r="355">
      <c r="D355" s="57"/>
      <c r="H355" s="58"/>
    </row>
    <row r="356">
      <c r="D356" s="57"/>
      <c r="H356" s="58"/>
    </row>
    <row r="357">
      <c r="D357" s="57"/>
      <c r="H357" s="58"/>
    </row>
    <row r="358">
      <c r="D358" s="57"/>
      <c r="H358" s="58"/>
    </row>
    <row r="359">
      <c r="D359" s="57"/>
      <c r="H359" s="58"/>
    </row>
    <row r="360">
      <c r="D360" s="57"/>
      <c r="H360" s="58"/>
    </row>
    <row r="361">
      <c r="D361" s="57"/>
      <c r="H361" s="58"/>
    </row>
    <row r="362">
      <c r="D362" s="57"/>
      <c r="H362" s="58"/>
    </row>
    <row r="363">
      <c r="D363" s="57"/>
      <c r="H363" s="58"/>
    </row>
    <row r="364">
      <c r="D364" s="57"/>
      <c r="H364" s="58"/>
    </row>
    <row r="365">
      <c r="D365" s="57"/>
      <c r="H365" s="58"/>
    </row>
    <row r="366">
      <c r="D366" s="57"/>
      <c r="H366" s="58"/>
    </row>
    <row r="367">
      <c r="D367" s="57"/>
      <c r="H367" s="58"/>
    </row>
    <row r="368">
      <c r="D368" s="57"/>
      <c r="H368" s="58"/>
    </row>
    <row r="369">
      <c r="D369" s="57"/>
      <c r="H369" s="58"/>
    </row>
    <row r="370">
      <c r="D370" s="57"/>
      <c r="H370" s="58"/>
    </row>
    <row r="371">
      <c r="D371" s="57"/>
      <c r="H371" s="58"/>
    </row>
    <row r="372">
      <c r="D372" s="57"/>
      <c r="H372" s="58"/>
    </row>
    <row r="373">
      <c r="D373" s="57"/>
      <c r="H373" s="58"/>
    </row>
    <row r="374">
      <c r="D374" s="57"/>
      <c r="H374" s="58"/>
    </row>
    <row r="375">
      <c r="D375" s="57"/>
      <c r="H375" s="58"/>
    </row>
    <row r="376">
      <c r="D376" s="57"/>
      <c r="H376" s="58"/>
    </row>
    <row r="377">
      <c r="D377" s="57"/>
      <c r="H377" s="58"/>
    </row>
    <row r="378">
      <c r="D378" s="57"/>
      <c r="H378" s="58"/>
    </row>
    <row r="379">
      <c r="D379" s="57"/>
      <c r="H379" s="58"/>
    </row>
    <row r="380">
      <c r="D380" s="57"/>
      <c r="H380" s="58"/>
    </row>
    <row r="381">
      <c r="D381" s="57"/>
      <c r="H381" s="58"/>
    </row>
    <row r="382">
      <c r="D382" s="57"/>
      <c r="H382" s="58"/>
    </row>
    <row r="383">
      <c r="D383" s="57"/>
      <c r="H383" s="58"/>
    </row>
    <row r="384">
      <c r="D384" s="57"/>
      <c r="H384" s="58"/>
    </row>
    <row r="385">
      <c r="D385" s="57"/>
      <c r="H385" s="58"/>
    </row>
    <row r="386">
      <c r="D386" s="57"/>
      <c r="H386" s="58"/>
    </row>
    <row r="387">
      <c r="D387" s="57"/>
      <c r="H387" s="58"/>
    </row>
    <row r="388">
      <c r="D388" s="57"/>
      <c r="H388" s="58"/>
    </row>
    <row r="389">
      <c r="D389" s="57"/>
      <c r="H389" s="58"/>
    </row>
    <row r="390">
      <c r="D390" s="57"/>
      <c r="H390" s="58"/>
    </row>
    <row r="391">
      <c r="D391" s="57"/>
      <c r="H391" s="58"/>
    </row>
    <row r="392">
      <c r="D392" s="57"/>
      <c r="H392" s="58"/>
    </row>
    <row r="393">
      <c r="D393" s="57"/>
      <c r="H393" s="58"/>
    </row>
    <row r="394">
      <c r="D394" s="57"/>
      <c r="H394" s="58"/>
    </row>
    <row r="395">
      <c r="D395" s="57"/>
      <c r="H395" s="58"/>
    </row>
    <row r="396">
      <c r="D396" s="57"/>
      <c r="H396" s="58"/>
    </row>
    <row r="397">
      <c r="D397" s="57"/>
      <c r="H397" s="58"/>
    </row>
    <row r="398">
      <c r="D398" s="57"/>
      <c r="H398" s="58"/>
    </row>
    <row r="399">
      <c r="D399" s="57"/>
      <c r="H399" s="58"/>
    </row>
    <row r="400">
      <c r="D400" s="57"/>
      <c r="H400" s="58"/>
    </row>
    <row r="401">
      <c r="D401" s="57"/>
      <c r="H401" s="58"/>
    </row>
    <row r="402">
      <c r="D402" s="57"/>
      <c r="H402" s="58"/>
    </row>
    <row r="403">
      <c r="D403" s="57"/>
      <c r="H403" s="58"/>
    </row>
    <row r="404">
      <c r="D404" s="57"/>
      <c r="H404" s="58"/>
    </row>
    <row r="405">
      <c r="D405" s="57"/>
      <c r="H405" s="58"/>
    </row>
    <row r="406">
      <c r="D406" s="57"/>
      <c r="H406" s="58"/>
    </row>
    <row r="407">
      <c r="D407" s="57"/>
      <c r="H407" s="58"/>
    </row>
    <row r="408">
      <c r="D408" s="57"/>
      <c r="H408" s="58"/>
    </row>
    <row r="409">
      <c r="D409" s="57"/>
      <c r="H409" s="58"/>
    </row>
    <row r="410">
      <c r="D410" s="57"/>
      <c r="H410" s="58"/>
    </row>
    <row r="411">
      <c r="D411" s="57"/>
      <c r="H411" s="58"/>
    </row>
    <row r="412">
      <c r="D412" s="57"/>
      <c r="H412" s="58"/>
    </row>
    <row r="413">
      <c r="D413" s="57"/>
      <c r="H413" s="58"/>
    </row>
    <row r="414">
      <c r="D414" s="57"/>
      <c r="H414" s="58"/>
    </row>
    <row r="415">
      <c r="D415" s="57"/>
      <c r="H415" s="58"/>
    </row>
    <row r="416">
      <c r="D416" s="57"/>
      <c r="H416" s="58"/>
    </row>
    <row r="417">
      <c r="D417" s="57"/>
      <c r="H417" s="58"/>
    </row>
    <row r="418">
      <c r="D418" s="57"/>
      <c r="H418" s="58"/>
    </row>
    <row r="419">
      <c r="D419" s="57"/>
      <c r="H419" s="58"/>
    </row>
    <row r="420">
      <c r="D420" s="57"/>
      <c r="H420" s="58"/>
    </row>
    <row r="421">
      <c r="D421" s="57"/>
      <c r="H421" s="58"/>
    </row>
    <row r="422">
      <c r="D422" s="57"/>
      <c r="H422" s="58"/>
    </row>
    <row r="423">
      <c r="D423" s="57"/>
      <c r="H423" s="58"/>
    </row>
    <row r="424">
      <c r="D424" s="57"/>
      <c r="H424" s="58"/>
    </row>
    <row r="425">
      <c r="D425" s="57"/>
      <c r="H425" s="58"/>
    </row>
    <row r="426">
      <c r="D426" s="57"/>
      <c r="H426" s="58"/>
    </row>
    <row r="427">
      <c r="D427" s="57"/>
      <c r="H427" s="58"/>
    </row>
    <row r="428">
      <c r="D428" s="57"/>
      <c r="H428" s="58"/>
    </row>
    <row r="429">
      <c r="D429" s="57"/>
      <c r="H429" s="58"/>
    </row>
    <row r="430">
      <c r="D430" s="57"/>
      <c r="H430" s="58"/>
    </row>
    <row r="431">
      <c r="D431" s="57"/>
      <c r="H431" s="58"/>
    </row>
    <row r="432">
      <c r="D432" s="57"/>
      <c r="H432" s="58"/>
    </row>
    <row r="433">
      <c r="D433" s="57"/>
      <c r="H433" s="58"/>
    </row>
    <row r="434">
      <c r="D434" s="57"/>
      <c r="H434" s="58"/>
    </row>
    <row r="435">
      <c r="D435" s="57"/>
      <c r="H435" s="58"/>
    </row>
    <row r="436">
      <c r="D436" s="57"/>
      <c r="H436" s="58"/>
    </row>
    <row r="437">
      <c r="D437" s="57"/>
      <c r="H437" s="58"/>
    </row>
    <row r="438">
      <c r="D438" s="57"/>
      <c r="H438" s="58"/>
    </row>
    <row r="439">
      <c r="D439" s="57"/>
      <c r="H439" s="58"/>
    </row>
    <row r="440">
      <c r="D440" s="57"/>
      <c r="H440" s="58"/>
    </row>
    <row r="441">
      <c r="D441" s="57"/>
      <c r="H441" s="58"/>
    </row>
    <row r="442">
      <c r="D442" s="57"/>
      <c r="H442" s="58"/>
    </row>
    <row r="443">
      <c r="D443" s="57"/>
      <c r="H443" s="58"/>
    </row>
    <row r="444">
      <c r="D444" s="57"/>
      <c r="H444" s="58"/>
    </row>
    <row r="445">
      <c r="D445" s="57"/>
      <c r="H445" s="58"/>
    </row>
    <row r="446">
      <c r="D446" s="57"/>
      <c r="H446" s="58"/>
    </row>
    <row r="447">
      <c r="D447" s="57"/>
      <c r="H447" s="58"/>
    </row>
    <row r="448">
      <c r="D448" s="57"/>
      <c r="H448" s="58"/>
    </row>
    <row r="449">
      <c r="D449" s="57"/>
      <c r="H449" s="58"/>
    </row>
    <row r="450">
      <c r="D450" s="57"/>
      <c r="H450" s="58"/>
    </row>
    <row r="451">
      <c r="D451" s="57"/>
      <c r="H451" s="58"/>
    </row>
    <row r="452">
      <c r="D452" s="57"/>
      <c r="H452" s="58"/>
    </row>
    <row r="453">
      <c r="D453" s="57"/>
      <c r="H453" s="58"/>
    </row>
    <row r="454">
      <c r="D454" s="57"/>
      <c r="H454" s="58"/>
    </row>
    <row r="455">
      <c r="D455" s="57"/>
      <c r="H455" s="58"/>
    </row>
    <row r="456">
      <c r="D456" s="57"/>
      <c r="H456" s="58"/>
    </row>
    <row r="457">
      <c r="D457" s="57"/>
      <c r="H457" s="58"/>
    </row>
    <row r="458">
      <c r="D458" s="57"/>
      <c r="H458" s="58"/>
    </row>
    <row r="459">
      <c r="D459" s="57"/>
      <c r="H459" s="58"/>
    </row>
    <row r="460">
      <c r="D460" s="57"/>
      <c r="H460" s="58"/>
    </row>
    <row r="461">
      <c r="D461" s="57"/>
      <c r="H461" s="58"/>
    </row>
    <row r="462">
      <c r="D462" s="57"/>
      <c r="H462" s="58"/>
    </row>
    <row r="463">
      <c r="D463" s="57"/>
      <c r="H463" s="58"/>
    </row>
    <row r="464">
      <c r="D464" s="57"/>
      <c r="H464" s="58"/>
    </row>
    <row r="465">
      <c r="D465" s="57"/>
      <c r="H465" s="58"/>
    </row>
    <row r="466">
      <c r="D466" s="57"/>
      <c r="H466" s="58"/>
    </row>
    <row r="467">
      <c r="D467" s="57"/>
      <c r="H467" s="58"/>
    </row>
    <row r="468">
      <c r="D468" s="57"/>
      <c r="H468" s="58"/>
    </row>
    <row r="469">
      <c r="D469" s="57"/>
      <c r="H469" s="58"/>
    </row>
    <row r="470">
      <c r="D470" s="57"/>
      <c r="H470" s="58"/>
    </row>
    <row r="471">
      <c r="D471" s="57"/>
      <c r="H471" s="58"/>
    </row>
    <row r="472">
      <c r="D472" s="57"/>
      <c r="H472" s="58"/>
    </row>
    <row r="473">
      <c r="D473" s="57"/>
      <c r="H473" s="58"/>
    </row>
    <row r="474">
      <c r="D474" s="57"/>
      <c r="H474" s="58"/>
    </row>
    <row r="475">
      <c r="D475" s="57"/>
      <c r="H475" s="58"/>
    </row>
    <row r="476">
      <c r="D476" s="57"/>
      <c r="H476" s="58"/>
    </row>
    <row r="477">
      <c r="D477" s="57"/>
      <c r="H477" s="58"/>
    </row>
    <row r="478">
      <c r="D478" s="57"/>
      <c r="H478" s="58"/>
    </row>
    <row r="479">
      <c r="D479" s="57"/>
      <c r="H479" s="58"/>
    </row>
    <row r="480">
      <c r="D480" s="57"/>
      <c r="H480" s="58"/>
    </row>
    <row r="481">
      <c r="D481" s="57"/>
      <c r="H481" s="58"/>
    </row>
    <row r="482">
      <c r="D482" s="57"/>
      <c r="H482" s="58"/>
    </row>
    <row r="483">
      <c r="D483" s="57"/>
      <c r="H483" s="58"/>
    </row>
    <row r="484">
      <c r="D484" s="57"/>
      <c r="H484" s="58"/>
    </row>
    <row r="485">
      <c r="D485" s="57"/>
      <c r="H485" s="58"/>
    </row>
    <row r="486">
      <c r="D486" s="57"/>
      <c r="H486" s="58"/>
    </row>
    <row r="487">
      <c r="D487" s="57"/>
      <c r="H487" s="58"/>
    </row>
    <row r="488">
      <c r="D488" s="57"/>
      <c r="H488" s="58"/>
    </row>
    <row r="489">
      <c r="D489" s="57"/>
      <c r="H489" s="58"/>
    </row>
    <row r="490">
      <c r="D490" s="57"/>
      <c r="H490" s="58"/>
    </row>
    <row r="491">
      <c r="D491" s="57"/>
      <c r="H491" s="58"/>
    </row>
    <row r="492">
      <c r="D492" s="57"/>
      <c r="H492" s="58"/>
    </row>
    <row r="493">
      <c r="D493" s="57"/>
      <c r="H493" s="58"/>
    </row>
    <row r="494">
      <c r="D494" s="57"/>
      <c r="H494" s="58"/>
    </row>
    <row r="495">
      <c r="D495" s="57"/>
      <c r="H495" s="58"/>
    </row>
    <row r="496">
      <c r="D496" s="57"/>
      <c r="H496" s="58"/>
    </row>
    <row r="497">
      <c r="D497" s="57"/>
      <c r="H497" s="58"/>
    </row>
    <row r="498">
      <c r="D498" s="57"/>
      <c r="H498" s="58"/>
    </row>
    <row r="499">
      <c r="D499" s="57"/>
      <c r="H499" s="58"/>
    </row>
    <row r="500">
      <c r="D500" s="57"/>
      <c r="H500" s="58"/>
    </row>
    <row r="501">
      <c r="D501" s="57"/>
      <c r="H501" s="58"/>
    </row>
    <row r="502">
      <c r="D502" s="57"/>
      <c r="H502" s="58"/>
    </row>
    <row r="503">
      <c r="D503" s="57"/>
      <c r="H503" s="58"/>
    </row>
    <row r="504">
      <c r="D504" s="57"/>
      <c r="H504" s="58"/>
    </row>
    <row r="505">
      <c r="D505" s="57"/>
      <c r="H505" s="58"/>
    </row>
    <row r="506">
      <c r="D506" s="57"/>
      <c r="H506" s="58"/>
    </row>
    <row r="507">
      <c r="D507" s="57"/>
      <c r="H507" s="58"/>
    </row>
    <row r="508">
      <c r="D508" s="57"/>
      <c r="H508" s="58"/>
    </row>
    <row r="509">
      <c r="D509" s="57"/>
      <c r="H509" s="58"/>
    </row>
    <row r="510">
      <c r="D510" s="57"/>
      <c r="H510" s="58"/>
    </row>
    <row r="511">
      <c r="D511" s="57"/>
      <c r="H511" s="58"/>
    </row>
    <row r="512">
      <c r="D512" s="57"/>
      <c r="H512" s="58"/>
    </row>
    <row r="513">
      <c r="D513" s="57"/>
      <c r="H513" s="58"/>
    </row>
    <row r="514">
      <c r="D514" s="57"/>
      <c r="H514" s="58"/>
    </row>
    <row r="515">
      <c r="D515" s="57"/>
      <c r="H515" s="58"/>
    </row>
    <row r="516">
      <c r="D516" s="57"/>
      <c r="H516" s="58"/>
    </row>
    <row r="517">
      <c r="D517" s="57"/>
      <c r="H517" s="58"/>
    </row>
    <row r="518">
      <c r="D518" s="57"/>
      <c r="H518" s="58"/>
    </row>
    <row r="519">
      <c r="D519" s="57"/>
      <c r="H519" s="58"/>
    </row>
    <row r="520">
      <c r="D520" s="57"/>
      <c r="H520" s="58"/>
    </row>
    <row r="521">
      <c r="D521" s="57"/>
      <c r="H521" s="58"/>
    </row>
    <row r="522">
      <c r="D522" s="57"/>
      <c r="H522" s="58"/>
    </row>
    <row r="523">
      <c r="D523" s="57"/>
      <c r="H523" s="58"/>
    </row>
    <row r="524">
      <c r="D524" s="57"/>
      <c r="H524" s="58"/>
    </row>
    <row r="525">
      <c r="D525" s="57"/>
      <c r="H525" s="58"/>
    </row>
    <row r="526">
      <c r="D526" s="57"/>
      <c r="H526" s="58"/>
    </row>
    <row r="527">
      <c r="D527" s="57"/>
      <c r="H527" s="58"/>
    </row>
    <row r="528">
      <c r="D528" s="57"/>
      <c r="H528" s="58"/>
    </row>
    <row r="529">
      <c r="D529" s="57"/>
      <c r="H529" s="58"/>
    </row>
    <row r="530">
      <c r="D530" s="57"/>
      <c r="H530" s="58"/>
    </row>
    <row r="531">
      <c r="D531" s="57"/>
      <c r="H531" s="58"/>
    </row>
    <row r="532">
      <c r="D532" s="57"/>
      <c r="H532" s="58"/>
    </row>
    <row r="533">
      <c r="D533" s="57"/>
      <c r="H533" s="58"/>
    </row>
    <row r="534">
      <c r="D534" s="57"/>
      <c r="H534" s="58"/>
    </row>
    <row r="535">
      <c r="D535" s="57"/>
      <c r="H535" s="58"/>
    </row>
    <row r="536">
      <c r="D536" s="57"/>
      <c r="H536" s="58"/>
    </row>
    <row r="537">
      <c r="D537" s="57"/>
      <c r="H537" s="58"/>
    </row>
    <row r="538">
      <c r="D538" s="57"/>
      <c r="H538" s="58"/>
    </row>
    <row r="539">
      <c r="D539" s="57"/>
      <c r="H539" s="58"/>
    </row>
    <row r="540">
      <c r="D540" s="57"/>
      <c r="H540" s="58"/>
    </row>
    <row r="541">
      <c r="D541" s="57"/>
      <c r="H541" s="58"/>
    </row>
    <row r="542">
      <c r="D542" s="57"/>
      <c r="H542" s="58"/>
    </row>
    <row r="543">
      <c r="D543" s="57"/>
      <c r="H543" s="58"/>
    </row>
    <row r="544">
      <c r="D544" s="57"/>
      <c r="H544" s="58"/>
    </row>
    <row r="545">
      <c r="D545" s="57"/>
      <c r="H545" s="58"/>
    </row>
    <row r="546">
      <c r="D546" s="57"/>
      <c r="H546" s="58"/>
    </row>
    <row r="547">
      <c r="D547" s="57"/>
      <c r="H547" s="58"/>
    </row>
    <row r="548">
      <c r="D548" s="57"/>
      <c r="H548" s="58"/>
    </row>
    <row r="549">
      <c r="D549" s="57"/>
      <c r="H549" s="58"/>
    </row>
    <row r="550">
      <c r="D550" s="57"/>
      <c r="H550" s="58"/>
    </row>
    <row r="551">
      <c r="D551" s="57"/>
      <c r="H551" s="58"/>
    </row>
    <row r="552">
      <c r="D552" s="57"/>
      <c r="H552" s="58"/>
    </row>
    <row r="553">
      <c r="D553" s="57"/>
      <c r="H553" s="58"/>
    </row>
    <row r="554">
      <c r="D554" s="57"/>
      <c r="H554" s="58"/>
    </row>
    <row r="555">
      <c r="D555" s="57"/>
      <c r="H555" s="58"/>
    </row>
    <row r="556">
      <c r="D556" s="57"/>
      <c r="H556" s="58"/>
    </row>
    <row r="557">
      <c r="D557" s="57"/>
      <c r="H557" s="58"/>
    </row>
    <row r="558">
      <c r="D558" s="57"/>
      <c r="H558" s="58"/>
    </row>
    <row r="559">
      <c r="D559" s="57"/>
      <c r="H559" s="58"/>
    </row>
    <row r="560">
      <c r="D560" s="57"/>
      <c r="H560" s="58"/>
    </row>
    <row r="561">
      <c r="D561" s="57"/>
      <c r="H561" s="58"/>
    </row>
    <row r="562">
      <c r="D562" s="57"/>
      <c r="H562" s="58"/>
    </row>
    <row r="563">
      <c r="D563" s="57"/>
      <c r="H563" s="58"/>
    </row>
    <row r="564">
      <c r="D564" s="57"/>
      <c r="H564" s="58"/>
    </row>
    <row r="565">
      <c r="D565" s="57"/>
      <c r="H565" s="58"/>
    </row>
    <row r="566">
      <c r="D566" s="57"/>
      <c r="H566" s="58"/>
    </row>
    <row r="567">
      <c r="D567" s="57"/>
      <c r="H567" s="58"/>
    </row>
    <row r="568">
      <c r="D568" s="57"/>
      <c r="H568" s="58"/>
    </row>
    <row r="569">
      <c r="D569" s="57"/>
      <c r="H569" s="58"/>
    </row>
    <row r="570">
      <c r="D570" s="57"/>
      <c r="H570" s="58"/>
    </row>
    <row r="571">
      <c r="D571" s="57"/>
      <c r="H571" s="58"/>
    </row>
    <row r="572">
      <c r="D572" s="57"/>
      <c r="H572" s="58"/>
    </row>
    <row r="573">
      <c r="D573" s="57"/>
      <c r="H573" s="58"/>
    </row>
    <row r="574">
      <c r="D574" s="57"/>
      <c r="H574" s="58"/>
    </row>
    <row r="575">
      <c r="D575" s="57"/>
      <c r="H575" s="58"/>
    </row>
    <row r="576">
      <c r="D576" s="57"/>
      <c r="H576" s="58"/>
    </row>
    <row r="577">
      <c r="D577" s="57"/>
      <c r="H577" s="58"/>
    </row>
    <row r="578">
      <c r="D578" s="57"/>
      <c r="H578" s="58"/>
    </row>
    <row r="579">
      <c r="D579" s="57"/>
      <c r="H579" s="58"/>
    </row>
    <row r="580">
      <c r="D580" s="57"/>
      <c r="H580" s="58"/>
    </row>
    <row r="581">
      <c r="D581" s="57"/>
      <c r="H581" s="58"/>
    </row>
    <row r="582">
      <c r="D582" s="57"/>
      <c r="H582" s="58"/>
    </row>
    <row r="583">
      <c r="D583" s="57"/>
      <c r="H583" s="58"/>
    </row>
    <row r="584">
      <c r="D584" s="57"/>
      <c r="H584" s="58"/>
    </row>
    <row r="585">
      <c r="D585" s="57"/>
      <c r="H585" s="58"/>
    </row>
    <row r="586">
      <c r="D586" s="57"/>
      <c r="H586" s="58"/>
    </row>
    <row r="587">
      <c r="D587" s="57"/>
      <c r="H587" s="58"/>
    </row>
    <row r="588">
      <c r="D588" s="57"/>
      <c r="H588" s="58"/>
    </row>
    <row r="589">
      <c r="D589" s="57"/>
      <c r="H589" s="58"/>
    </row>
    <row r="590">
      <c r="D590" s="57"/>
      <c r="H590" s="58"/>
    </row>
    <row r="591">
      <c r="D591" s="57"/>
      <c r="H591" s="58"/>
    </row>
    <row r="592">
      <c r="D592" s="57"/>
      <c r="H592" s="58"/>
    </row>
    <row r="593">
      <c r="D593" s="57"/>
      <c r="H593" s="58"/>
    </row>
    <row r="594">
      <c r="D594" s="57"/>
      <c r="H594" s="58"/>
    </row>
    <row r="595">
      <c r="D595" s="57"/>
      <c r="H595" s="58"/>
    </row>
    <row r="596">
      <c r="D596" s="57"/>
      <c r="H596" s="58"/>
    </row>
    <row r="597">
      <c r="D597" s="57"/>
      <c r="H597" s="58"/>
    </row>
    <row r="598">
      <c r="D598" s="57"/>
      <c r="H598" s="58"/>
    </row>
    <row r="599">
      <c r="D599" s="57"/>
      <c r="H599" s="58"/>
    </row>
    <row r="600">
      <c r="D600" s="57"/>
      <c r="H600" s="58"/>
    </row>
    <row r="601">
      <c r="D601" s="57"/>
      <c r="H601" s="58"/>
    </row>
    <row r="602">
      <c r="D602" s="57"/>
      <c r="H602" s="58"/>
    </row>
    <row r="603">
      <c r="D603" s="57"/>
      <c r="H603" s="58"/>
    </row>
    <row r="604">
      <c r="D604" s="57"/>
      <c r="H604" s="58"/>
    </row>
    <row r="605">
      <c r="D605" s="57"/>
      <c r="H605" s="58"/>
    </row>
    <row r="606">
      <c r="D606" s="57"/>
      <c r="H606" s="58"/>
    </row>
    <row r="607">
      <c r="D607" s="57"/>
      <c r="H607" s="58"/>
    </row>
    <row r="608">
      <c r="D608" s="57"/>
      <c r="H608" s="58"/>
    </row>
    <row r="609">
      <c r="D609" s="57"/>
      <c r="H609" s="58"/>
    </row>
    <row r="610">
      <c r="D610" s="57"/>
      <c r="H610" s="58"/>
    </row>
    <row r="611">
      <c r="D611" s="57"/>
      <c r="H611" s="58"/>
    </row>
    <row r="612">
      <c r="D612" s="57"/>
      <c r="H612" s="58"/>
    </row>
    <row r="613">
      <c r="D613" s="57"/>
      <c r="H613" s="58"/>
    </row>
    <row r="614">
      <c r="D614" s="57"/>
      <c r="H614" s="58"/>
    </row>
    <row r="615">
      <c r="D615" s="57"/>
      <c r="H615" s="58"/>
    </row>
    <row r="616">
      <c r="D616" s="57"/>
      <c r="H616" s="58"/>
    </row>
    <row r="617">
      <c r="D617" s="57"/>
      <c r="H617" s="58"/>
    </row>
    <row r="618">
      <c r="D618" s="57"/>
      <c r="H618" s="58"/>
    </row>
    <row r="619">
      <c r="D619" s="57"/>
      <c r="H619" s="58"/>
    </row>
    <row r="620">
      <c r="D620" s="57"/>
      <c r="H620" s="58"/>
    </row>
    <row r="621">
      <c r="D621" s="57"/>
      <c r="H621" s="58"/>
    </row>
    <row r="622">
      <c r="D622" s="57"/>
      <c r="H622" s="58"/>
    </row>
    <row r="623">
      <c r="D623" s="57"/>
      <c r="H623" s="58"/>
    </row>
    <row r="624">
      <c r="D624" s="57"/>
      <c r="H624" s="58"/>
    </row>
    <row r="625">
      <c r="D625" s="57"/>
      <c r="H625" s="58"/>
    </row>
    <row r="626">
      <c r="D626" s="57"/>
      <c r="H626" s="58"/>
    </row>
    <row r="627">
      <c r="D627" s="57"/>
      <c r="H627" s="58"/>
    </row>
    <row r="628">
      <c r="D628" s="57"/>
      <c r="H628" s="58"/>
    </row>
    <row r="629">
      <c r="D629" s="57"/>
      <c r="H629" s="58"/>
    </row>
    <row r="630">
      <c r="D630" s="57"/>
      <c r="H630" s="58"/>
    </row>
    <row r="631">
      <c r="D631" s="57"/>
      <c r="H631" s="58"/>
    </row>
    <row r="632">
      <c r="D632" s="57"/>
      <c r="H632" s="58"/>
    </row>
    <row r="633">
      <c r="D633" s="57"/>
      <c r="H633" s="58"/>
    </row>
    <row r="634">
      <c r="D634" s="57"/>
      <c r="H634" s="58"/>
    </row>
    <row r="635">
      <c r="D635" s="57"/>
      <c r="H635" s="58"/>
    </row>
    <row r="636">
      <c r="D636" s="57"/>
      <c r="H636" s="58"/>
    </row>
    <row r="637">
      <c r="D637" s="57"/>
      <c r="H637" s="58"/>
    </row>
    <row r="638">
      <c r="D638" s="57"/>
      <c r="H638" s="58"/>
    </row>
    <row r="639">
      <c r="D639" s="57"/>
      <c r="H639" s="58"/>
    </row>
    <row r="640">
      <c r="D640" s="57"/>
      <c r="H640" s="58"/>
    </row>
    <row r="641">
      <c r="D641" s="57"/>
      <c r="H641" s="58"/>
    </row>
    <row r="642">
      <c r="D642" s="57"/>
      <c r="H642" s="58"/>
    </row>
    <row r="643">
      <c r="D643" s="57"/>
      <c r="H643" s="58"/>
    </row>
    <row r="644">
      <c r="D644" s="57"/>
      <c r="H644" s="58"/>
    </row>
    <row r="645">
      <c r="D645" s="57"/>
      <c r="H645" s="58"/>
    </row>
    <row r="646">
      <c r="D646" s="57"/>
      <c r="H646" s="58"/>
    </row>
    <row r="647">
      <c r="D647" s="57"/>
      <c r="H647" s="58"/>
    </row>
    <row r="648">
      <c r="D648" s="57"/>
      <c r="H648" s="58"/>
    </row>
    <row r="649">
      <c r="D649" s="57"/>
      <c r="H649" s="58"/>
    </row>
    <row r="650">
      <c r="D650" s="57"/>
      <c r="H650" s="58"/>
    </row>
    <row r="651">
      <c r="D651" s="57"/>
      <c r="H651" s="58"/>
    </row>
    <row r="652">
      <c r="D652" s="57"/>
      <c r="H652" s="58"/>
    </row>
    <row r="653">
      <c r="D653" s="57"/>
      <c r="H653" s="58"/>
    </row>
    <row r="654">
      <c r="D654" s="57"/>
      <c r="H654" s="58"/>
    </row>
    <row r="655">
      <c r="D655" s="57"/>
      <c r="H655" s="58"/>
    </row>
    <row r="656">
      <c r="D656" s="57"/>
      <c r="H656" s="58"/>
    </row>
    <row r="657">
      <c r="D657" s="57"/>
      <c r="H657" s="58"/>
    </row>
    <row r="658">
      <c r="D658" s="57"/>
      <c r="H658" s="58"/>
    </row>
    <row r="659">
      <c r="D659" s="57"/>
      <c r="H659" s="58"/>
    </row>
    <row r="660">
      <c r="D660" s="57"/>
      <c r="H660" s="58"/>
    </row>
    <row r="661">
      <c r="D661" s="57"/>
      <c r="H661" s="58"/>
    </row>
    <row r="662">
      <c r="D662" s="57"/>
      <c r="H662" s="58"/>
    </row>
    <row r="663">
      <c r="D663" s="57"/>
      <c r="H663" s="58"/>
    </row>
    <row r="664">
      <c r="D664" s="57"/>
      <c r="H664" s="58"/>
    </row>
    <row r="665">
      <c r="D665" s="57"/>
      <c r="H665" s="58"/>
    </row>
    <row r="666">
      <c r="D666" s="57"/>
      <c r="H666" s="58"/>
    </row>
    <row r="667">
      <c r="D667" s="57"/>
      <c r="H667" s="58"/>
    </row>
    <row r="668">
      <c r="D668" s="57"/>
      <c r="H668" s="58"/>
    </row>
    <row r="669">
      <c r="D669" s="57"/>
      <c r="H669" s="58"/>
    </row>
    <row r="670">
      <c r="D670" s="57"/>
      <c r="H670" s="58"/>
    </row>
    <row r="671">
      <c r="D671" s="57"/>
      <c r="H671" s="58"/>
    </row>
    <row r="672">
      <c r="D672" s="57"/>
      <c r="H672" s="58"/>
    </row>
    <row r="673">
      <c r="D673" s="57"/>
      <c r="H673" s="58"/>
    </row>
    <row r="674">
      <c r="D674" s="57"/>
      <c r="H674" s="58"/>
    </row>
    <row r="675">
      <c r="D675" s="57"/>
      <c r="H675" s="58"/>
    </row>
    <row r="676">
      <c r="D676" s="57"/>
      <c r="H676" s="58"/>
    </row>
    <row r="677">
      <c r="D677" s="57"/>
      <c r="H677" s="58"/>
    </row>
    <row r="678">
      <c r="D678" s="57"/>
      <c r="H678" s="58"/>
    </row>
    <row r="679">
      <c r="D679" s="57"/>
      <c r="H679" s="58"/>
    </row>
    <row r="680">
      <c r="D680" s="57"/>
      <c r="H680" s="58"/>
    </row>
    <row r="681">
      <c r="D681" s="57"/>
      <c r="H681" s="58"/>
    </row>
    <row r="682">
      <c r="D682" s="57"/>
      <c r="H682" s="58"/>
    </row>
    <row r="683">
      <c r="D683" s="57"/>
      <c r="H683" s="58"/>
    </row>
    <row r="684">
      <c r="D684" s="57"/>
      <c r="H684" s="58"/>
    </row>
    <row r="685">
      <c r="D685" s="57"/>
      <c r="H685" s="58"/>
    </row>
    <row r="686">
      <c r="D686" s="57"/>
      <c r="H686" s="58"/>
    </row>
    <row r="687">
      <c r="D687" s="57"/>
      <c r="H687" s="58"/>
    </row>
    <row r="688">
      <c r="D688" s="57"/>
      <c r="H688" s="58"/>
    </row>
    <row r="689">
      <c r="D689" s="57"/>
      <c r="H689" s="58"/>
    </row>
    <row r="690">
      <c r="D690" s="57"/>
      <c r="H690" s="58"/>
    </row>
    <row r="691">
      <c r="D691" s="57"/>
      <c r="H691" s="58"/>
    </row>
    <row r="692">
      <c r="D692" s="57"/>
      <c r="H692" s="58"/>
    </row>
    <row r="693">
      <c r="D693" s="57"/>
      <c r="H693" s="58"/>
    </row>
    <row r="694">
      <c r="D694" s="57"/>
      <c r="H694" s="58"/>
    </row>
    <row r="695">
      <c r="D695" s="57"/>
      <c r="H695" s="58"/>
    </row>
    <row r="696">
      <c r="D696" s="57"/>
      <c r="H696" s="58"/>
    </row>
    <row r="697">
      <c r="D697" s="57"/>
      <c r="H697" s="58"/>
    </row>
    <row r="698">
      <c r="D698" s="57"/>
      <c r="H698" s="58"/>
    </row>
    <row r="699">
      <c r="D699" s="57"/>
      <c r="H699" s="58"/>
    </row>
    <row r="700">
      <c r="D700" s="57"/>
      <c r="H700" s="58"/>
    </row>
    <row r="701">
      <c r="D701" s="57"/>
      <c r="H701" s="58"/>
    </row>
    <row r="702">
      <c r="D702" s="57"/>
      <c r="H702" s="58"/>
    </row>
    <row r="703">
      <c r="D703" s="57"/>
      <c r="H703" s="58"/>
    </row>
    <row r="704">
      <c r="D704" s="57"/>
      <c r="H704" s="58"/>
    </row>
    <row r="705">
      <c r="D705" s="57"/>
      <c r="H705" s="58"/>
    </row>
    <row r="706">
      <c r="D706" s="57"/>
      <c r="H706" s="58"/>
    </row>
    <row r="707">
      <c r="D707" s="57"/>
      <c r="H707" s="58"/>
    </row>
    <row r="708">
      <c r="D708" s="57"/>
      <c r="H708" s="58"/>
    </row>
    <row r="709">
      <c r="D709" s="57"/>
      <c r="H709" s="58"/>
    </row>
    <row r="710">
      <c r="D710" s="57"/>
      <c r="H710" s="58"/>
    </row>
    <row r="711">
      <c r="D711" s="57"/>
      <c r="H711" s="58"/>
    </row>
    <row r="712">
      <c r="D712" s="57"/>
      <c r="H712" s="58"/>
    </row>
    <row r="713">
      <c r="D713" s="57"/>
      <c r="H713" s="58"/>
    </row>
    <row r="714">
      <c r="D714" s="57"/>
      <c r="H714" s="58"/>
    </row>
    <row r="715">
      <c r="D715" s="57"/>
      <c r="H715" s="58"/>
    </row>
    <row r="716">
      <c r="D716" s="57"/>
      <c r="H716" s="58"/>
    </row>
    <row r="717">
      <c r="D717" s="57"/>
      <c r="H717" s="58"/>
    </row>
    <row r="718">
      <c r="D718" s="57"/>
      <c r="H718" s="58"/>
    </row>
    <row r="719">
      <c r="D719" s="57"/>
      <c r="H719" s="58"/>
    </row>
    <row r="720">
      <c r="D720" s="57"/>
      <c r="H720" s="58"/>
    </row>
    <row r="721">
      <c r="D721" s="57"/>
      <c r="H721" s="58"/>
    </row>
    <row r="722">
      <c r="D722" s="57"/>
      <c r="H722" s="58"/>
    </row>
    <row r="723">
      <c r="D723" s="57"/>
      <c r="H723" s="58"/>
    </row>
    <row r="724">
      <c r="D724" s="57"/>
      <c r="H724" s="58"/>
    </row>
    <row r="725">
      <c r="D725" s="57"/>
      <c r="H725" s="58"/>
    </row>
    <row r="726">
      <c r="D726" s="57"/>
      <c r="H726" s="58"/>
    </row>
    <row r="727">
      <c r="D727" s="57"/>
      <c r="H727" s="58"/>
    </row>
    <row r="728">
      <c r="D728" s="57"/>
      <c r="H728" s="58"/>
    </row>
    <row r="729">
      <c r="D729" s="57"/>
      <c r="H729" s="58"/>
    </row>
    <row r="730">
      <c r="D730" s="57"/>
      <c r="H730" s="58"/>
    </row>
    <row r="731">
      <c r="D731" s="57"/>
      <c r="H731" s="58"/>
    </row>
    <row r="732">
      <c r="D732" s="57"/>
      <c r="H732" s="58"/>
    </row>
    <row r="733">
      <c r="D733" s="57"/>
      <c r="H733" s="58"/>
    </row>
    <row r="734">
      <c r="D734" s="57"/>
      <c r="H734" s="58"/>
    </row>
    <row r="735">
      <c r="D735" s="57"/>
      <c r="H735" s="58"/>
    </row>
    <row r="736">
      <c r="D736" s="57"/>
      <c r="H736" s="58"/>
    </row>
    <row r="737">
      <c r="D737" s="57"/>
      <c r="H737" s="58"/>
    </row>
    <row r="738">
      <c r="D738" s="57"/>
      <c r="H738" s="58"/>
    </row>
    <row r="739">
      <c r="D739" s="57"/>
      <c r="H739" s="58"/>
    </row>
    <row r="740">
      <c r="D740" s="57"/>
      <c r="H740" s="58"/>
    </row>
    <row r="741">
      <c r="D741" s="57"/>
      <c r="H741" s="58"/>
    </row>
    <row r="742">
      <c r="D742" s="57"/>
      <c r="H742" s="58"/>
    </row>
    <row r="743">
      <c r="D743" s="57"/>
      <c r="H743" s="58"/>
    </row>
    <row r="744">
      <c r="D744" s="57"/>
      <c r="H744" s="58"/>
    </row>
    <row r="745">
      <c r="D745" s="57"/>
      <c r="H745" s="58"/>
    </row>
    <row r="746">
      <c r="D746" s="57"/>
      <c r="H746" s="58"/>
    </row>
    <row r="747">
      <c r="D747" s="57"/>
      <c r="H747" s="58"/>
    </row>
    <row r="748">
      <c r="D748" s="57"/>
      <c r="H748" s="58"/>
    </row>
    <row r="749">
      <c r="D749" s="57"/>
      <c r="H749" s="58"/>
    </row>
    <row r="750">
      <c r="D750" s="57"/>
      <c r="H750" s="58"/>
    </row>
    <row r="751">
      <c r="D751" s="57"/>
      <c r="H751" s="58"/>
    </row>
    <row r="752">
      <c r="D752" s="57"/>
      <c r="H752" s="58"/>
    </row>
    <row r="753">
      <c r="D753" s="57"/>
      <c r="H753" s="58"/>
    </row>
    <row r="754">
      <c r="D754" s="57"/>
      <c r="H754" s="58"/>
    </row>
    <row r="755">
      <c r="D755" s="57"/>
      <c r="H755" s="58"/>
    </row>
    <row r="756">
      <c r="D756" s="57"/>
      <c r="H756" s="58"/>
    </row>
    <row r="757">
      <c r="D757" s="57"/>
      <c r="H757" s="58"/>
    </row>
    <row r="758">
      <c r="D758" s="57"/>
      <c r="H758" s="58"/>
    </row>
    <row r="759">
      <c r="D759" s="57"/>
      <c r="H759" s="58"/>
    </row>
    <row r="760">
      <c r="D760" s="57"/>
      <c r="H760" s="58"/>
    </row>
    <row r="761">
      <c r="D761" s="57"/>
      <c r="H761" s="58"/>
    </row>
    <row r="762">
      <c r="D762" s="57"/>
      <c r="H762" s="58"/>
    </row>
    <row r="763">
      <c r="D763" s="57"/>
      <c r="H763" s="58"/>
    </row>
    <row r="764">
      <c r="D764" s="57"/>
      <c r="H764" s="58"/>
    </row>
    <row r="765">
      <c r="D765" s="57"/>
      <c r="H765" s="58"/>
    </row>
    <row r="766">
      <c r="D766" s="57"/>
      <c r="H766" s="58"/>
    </row>
    <row r="767">
      <c r="D767" s="57"/>
      <c r="H767" s="58"/>
    </row>
    <row r="768">
      <c r="D768" s="57"/>
      <c r="H768" s="58"/>
    </row>
    <row r="769">
      <c r="D769" s="57"/>
      <c r="H769" s="58"/>
    </row>
    <row r="770">
      <c r="D770" s="57"/>
      <c r="H770" s="58"/>
    </row>
    <row r="771">
      <c r="D771" s="57"/>
      <c r="H771" s="58"/>
    </row>
    <row r="772">
      <c r="D772" s="57"/>
      <c r="H772" s="58"/>
    </row>
    <row r="773">
      <c r="D773" s="57"/>
      <c r="H773" s="58"/>
    </row>
    <row r="774">
      <c r="D774" s="57"/>
      <c r="H774" s="58"/>
    </row>
    <row r="775">
      <c r="D775" s="57"/>
      <c r="H775" s="58"/>
    </row>
    <row r="776">
      <c r="D776" s="57"/>
      <c r="H776" s="58"/>
    </row>
    <row r="777">
      <c r="D777" s="57"/>
      <c r="H777" s="58"/>
    </row>
    <row r="778">
      <c r="D778" s="57"/>
      <c r="H778" s="58"/>
    </row>
    <row r="779">
      <c r="D779" s="57"/>
      <c r="H779" s="58"/>
    </row>
    <row r="780">
      <c r="D780" s="57"/>
      <c r="H780" s="58"/>
    </row>
    <row r="781">
      <c r="D781" s="57"/>
      <c r="H781" s="58"/>
    </row>
    <row r="782">
      <c r="D782" s="57"/>
      <c r="H782" s="58"/>
    </row>
    <row r="783">
      <c r="D783" s="57"/>
      <c r="H783" s="58"/>
    </row>
    <row r="784">
      <c r="D784" s="57"/>
      <c r="H784" s="58"/>
    </row>
    <row r="785">
      <c r="D785" s="57"/>
      <c r="H785" s="58"/>
    </row>
    <row r="786">
      <c r="D786" s="57"/>
      <c r="H786" s="58"/>
    </row>
    <row r="787">
      <c r="D787" s="57"/>
      <c r="H787" s="58"/>
    </row>
    <row r="788">
      <c r="D788" s="57"/>
      <c r="H788" s="58"/>
    </row>
    <row r="789">
      <c r="D789" s="57"/>
      <c r="H789" s="58"/>
    </row>
    <row r="790">
      <c r="D790" s="57"/>
      <c r="H790" s="58"/>
    </row>
    <row r="791">
      <c r="D791" s="57"/>
      <c r="H791" s="58"/>
    </row>
    <row r="792">
      <c r="D792" s="57"/>
      <c r="H792" s="58"/>
    </row>
    <row r="793">
      <c r="D793" s="57"/>
      <c r="H793" s="58"/>
    </row>
    <row r="794">
      <c r="D794" s="57"/>
      <c r="H794" s="58"/>
    </row>
    <row r="795">
      <c r="D795" s="57"/>
      <c r="H795" s="58"/>
    </row>
    <row r="796">
      <c r="D796" s="57"/>
      <c r="H796" s="58"/>
    </row>
    <row r="797">
      <c r="D797" s="57"/>
      <c r="H797" s="58"/>
    </row>
    <row r="798">
      <c r="D798" s="57"/>
      <c r="H798" s="58"/>
    </row>
    <row r="799">
      <c r="D799" s="57"/>
      <c r="H799" s="58"/>
    </row>
    <row r="800">
      <c r="D800" s="57"/>
      <c r="H800" s="58"/>
    </row>
    <row r="801">
      <c r="D801" s="57"/>
      <c r="H801" s="58"/>
    </row>
    <row r="802">
      <c r="D802" s="57"/>
      <c r="H802" s="58"/>
    </row>
    <row r="803">
      <c r="D803" s="57"/>
      <c r="H803" s="58"/>
    </row>
    <row r="804">
      <c r="D804" s="57"/>
      <c r="H804" s="58"/>
    </row>
    <row r="805">
      <c r="D805" s="57"/>
      <c r="H805" s="58"/>
    </row>
    <row r="806">
      <c r="D806" s="57"/>
      <c r="H806" s="58"/>
    </row>
    <row r="807">
      <c r="D807" s="57"/>
      <c r="H807" s="58"/>
    </row>
    <row r="808">
      <c r="D808" s="57"/>
      <c r="H808" s="58"/>
    </row>
    <row r="809">
      <c r="D809" s="57"/>
      <c r="H809" s="58"/>
    </row>
    <row r="810">
      <c r="D810" s="57"/>
      <c r="H810" s="58"/>
    </row>
    <row r="811">
      <c r="D811" s="57"/>
      <c r="H811" s="58"/>
    </row>
    <row r="812">
      <c r="D812" s="57"/>
      <c r="H812" s="58"/>
    </row>
    <row r="813">
      <c r="D813" s="57"/>
      <c r="H813" s="58"/>
    </row>
    <row r="814">
      <c r="D814" s="57"/>
      <c r="H814" s="58"/>
    </row>
    <row r="815">
      <c r="D815" s="57"/>
      <c r="H815" s="58"/>
    </row>
    <row r="816">
      <c r="D816" s="57"/>
      <c r="H816" s="58"/>
    </row>
    <row r="817">
      <c r="D817" s="57"/>
      <c r="H817" s="58"/>
    </row>
    <row r="818">
      <c r="D818" s="57"/>
      <c r="H818" s="58"/>
    </row>
    <row r="819">
      <c r="D819" s="57"/>
      <c r="H819" s="58"/>
    </row>
    <row r="820">
      <c r="D820" s="57"/>
      <c r="H820" s="58"/>
    </row>
    <row r="821">
      <c r="D821" s="57"/>
      <c r="H821" s="58"/>
    </row>
    <row r="822">
      <c r="D822" s="57"/>
      <c r="H822" s="58"/>
    </row>
    <row r="823">
      <c r="D823" s="57"/>
      <c r="H823" s="58"/>
    </row>
    <row r="824">
      <c r="D824" s="57"/>
      <c r="H824" s="58"/>
    </row>
    <row r="825">
      <c r="D825" s="57"/>
      <c r="H825" s="58"/>
    </row>
    <row r="826">
      <c r="D826" s="57"/>
      <c r="H826" s="58"/>
    </row>
    <row r="827">
      <c r="D827" s="57"/>
      <c r="H827" s="58"/>
    </row>
    <row r="828">
      <c r="D828" s="57"/>
      <c r="H828" s="58"/>
    </row>
    <row r="829">
      <c r="D829" s="57"/>
      <c r="H829" s="58"/>
    </row>
    <row r="830">
      <c r="D830" s="57"/>
      <c r="H830" s="58"/>
    </row>
    <row r="831">
      <c r="D831" s="57"/>
      <c r="H831" s="58"/>
    </row>
    <row r="832">
      <c r="D832" s="57"/>
      <c r="H832" s="58"/>
    </row>
    <row r="833">
      <c r="D833" s="57"/>
      <c r="H833" s="58"/>
    </row>
    <row r="834">
      <c r="D834" s="57"/>
      <c r="H834" s="58"/>
    </row>
    <row r="835">
      <c r="D835" s="57"/>
      <c r="H835" s="58"/>
    </row>
    <row r="836">
      <c r="D836" s="57"/>
      <c r="H836" s="58"/>
    </row>
    <row r="837">
      <c r="D837" s="57"/>
      <c r="H837" s="58"/>
    </row>
    <row r="838">
      <c r="D838" s="57"/>
      <c r="H838" s="58"/>
    </row>
    <row r="839">
      <c r="D839" s="57"/>
      <c r="H839" s="58"/>
    </row>
    <row r="840">
      <c r="D840" s="57"/>
      <c r="H840" s="58"/>
    </row>
    <row r="841">
      <c r="D841" s="57"/>
      <c r="H841" s="58"/>
    </row>
    <row r="842">
      <c r="D842" s="57"/>
      <c r="H842" s="58"/>
    </row>
    <row r="843">
      <c r="D843" s="57"/>
      <c r="H843" s="58"/>
    </row>
    <row r="844">
      <c r="D844" s="57"/>
      <c r="H844" s="58"/>
    </row>
    <row r="845">
      <c r="D845" s="57"/>
      <c r="H845" s="58"/>
    </row>
    <row r="846">
      <c r="D846" s="57"/>
      <c r="H846" s="58"/>
    </row>
    <row r="847">
      <c r="D847" s="57"/>
      <c r="H847" s="58"/>
    </row>
    <row r="848">
      <c r="D848" s="57"/>
      <c r="H848" s="58"/>
    </row>
    <row r="849">
      <c r="D849" s="57"/>
      <c r="H849" s="58"/>
    </row>
    <row r="850">
      <c r="D850" s="57"/>
      <c r="H850" s="58"/>
    </row>
    <row r="851">
      <c r="D851" s="57"/>
      <c r="H851" s="58"/>
    </row>
    <row r="852">
      <c r="D852" s="57"/>
      <c r="H852" s="58"/>
    </row>
    <row r="853">
      <c r="D853" s="57"/>
      <c r="H853" s="58"/>
    </row>
    <row r="854">
      <c r="D854" s="57"/>
      <c r="H854" s="58"/>
    </row>
    <row r="855">
      <c r="D855" s="57"/>
      <c r="H855" s="58"/>
    </row>
    <row r="856">
      <c r="D856" s="57"/>
      <c r="H856" s="58"/>
    </row>
    <row r="857">
      <c r="D857" s="57"/>
      <c r="H857" s="58"/>
    </row>
    <row r="858">
      <c r="D858" s="57"/>
      <c r="H858" s="58"/>
    </row>
    <row r="859">
      <c r="D859" s="57"/>
      <c r="H859" s="58"/>
    </row>
    <row r="860">
      <c r="D860" s="57"/>
      <c r="H860" s="58"/>
    </row>
    <row r="861">
      <c r="D861" s="57"/>
      <c r="H861" s="58"/>
    </row>
    <row r="862">
      <c r="D862" s="57"/>
      <c r="H862" s="58"/>
    </row>
    <row r="863">
      <c r="D863" s="57"/>
      <c r="H863" s="58"/>
    </row>
    <row r="864">
      <c r="D864" s="57"/>
      <c r="H864" s="58"/>
    </row>
    <row r="865">
      <c r="D865" s="57"/>
      <c r="H865" s="58"/>
    </row>
    <row r="866">
      <c r="D866" s="57"/>
      <c r="H866" s="58"/>
    </row>
    <row r="867">
      <c r="D867" s="57"/>
      <c r="H867" s="58"/>
    </row>
    <row r="868">
      <c r="D868" s="57"/>
      <c r="H868" s="58"/>
    </row>
    <row r="869">
      <c r="D869" s="57"/>
      <c r="H869" s="58"/>
    </row>
    <row r="870">
      <c r="D870" s="57"/>
      <c r="H870" s="58"/>
    </row>
    <row r="871">
      <c r="D871" s="57"/>
      <c r="H871" s="58"/>
    </row>
    <row r="872">
      <c r="D872" s="57"/>
      <c r="H872" s="58"/>
    </row>
    <row r="873">
      <c r="D873" s="57"/>
      <c r="H873" s="58"/>
    </row>
    <row r="874">
      <c r="D874" s="57"/>
      <c r="H874" s="58"/>
    </row>
    <row r="875">
      <c r="D875" s="57"/>
      <c r="H875" s="58"/>
    </row>
    <row r="876">
      <c r="D876" s="57"/>
      <c r="H876" s="58"/>
    </row>
    <row r="877">
      <c r="D877" s="57"/>
      <c r="H877" s="58"/>
    </row>
    <row r="878">
      <c r="D878" s="57"/>
      <c r="H878" s="58"/>
    </row>
    <row r="879">
      <c r="D879" s="57"/>
      <c r="H879" s="58"/>
    </row>
    <row r="880">
      <c r="D880" s="57"/>
      <c r="H880" s="58"/>
    </row>
    <row r="881">
      <c r="D881" s="57"/>
      <c r="H881" s="58"/>
    </row>
    <row r="882">
      <c r="D882" s="57"/>
      <c r="H882" s="58"/>
    </row>
    <row r="883">
      <c r="D883" s="57"/>
      <c r="H883" s="58"/>
    </row>
    <row r="884">
      <c r="D884" s="57"/>
      <c r="H884" s="58"/>
    </row>
    <row r="885">
      <c r="D885" s="57"/>
      <c r="H885" s="58"/>
    </row>
    <row r="886">
      <c r="D886" s="57"/>
      <c r="H886" s="58"/>
    </row>
    <row r="887">
      <c r="D887" s="57"/>
      <c r="H887" s="58"/>
    </row>
    <row r="888">
      <c r="D888" s="57"/>
      <c r="H888" s="58"/>
    </row>
    <row r="889">
      <c r="D889" s="57"/>
      <c r="H889" s="58"/>
    </row>
    <row r="890">
      <c r="D890" s="57"/>
      <c r="H890" s="58"/>
    </row>
    <row r="891">
      <c r="D891" s="57"/>
      <c r="H891" s="58"/>
    </row>
    <row r="892">
      <c r="D892" s="57"/>
      <c r="H892" s="58"/>
    </row>
    <row r="893">
      <c r="D893" s="57"/>
      <c r="H893" s="58"/>
    </row>
    <row r="894">
      <c r="D894" s="57"/>
      <c r="H894" s="58"/>
    </row>
    <row r="895">
      <c r="D895" s="57"/>
      <c r="H895" s="58"/>
    </row>
    <row r="896">
      <c r="D896" s="57"/>
      <c r="H896" s="58"/>
    </row>
    <row r="897">
      <c r="D897" s="57"/>
      <c r="H897" s="58"/>
    </row>
    <row r="898">
      <c r="D898" s="57"/>
      <c r="H898" s="58"/>
    </row>
    <row r="899">
      <c r="D899" s="57"/>
      <c r="H899" s="58"/>
    </row>
    <row r="900">
      <c r="D900" s="57"/>
      <c r="H900" s="58"/>
    </row>
    <row r="901">
      <c r="D901" s="57"/>
      <c r="H901" s="58"/>
    </row>
    <row r="902">
      <c r="D902" s="57"/>
      <c r="H902" s="58"/>
    </row>
    <row r="903">
      <c r="D903" s="57"/>
      <c r="H903" s="58"/>
    </row>
    <row r="904">
      <c r="D904" s="57"/>
      <c r="H904" s="58"/>
    </row>
    <row r="905">
      <c r="D905" s="57"/>
      <c r="H905" s="58"/>
    </row>
    <row r="906">
      <c r="D906" s="57"/>
      <c r="H906" s="58"/>
    </row>
    <row r="907">
      <c r="D907" s="57"/>
      <c r="H907" s="58"/>
    </row>
    <row r="908">
      <c r="D908" s="57"/>
      <c r="H908" s="58"/>
    </row>
    <row r="909">
      <c r="D909" s="57"/>
      <c r="H909" s="58"/>
    </row>
    <row r="910">
      <c r="D910" s="57"/>
      <c r="H910" s="58"/>
    </row>
    <row r="911">
      <c r="D911" s="57"/>
      <c r="H911" s="58"/>
    </row>
    <row r="912">
      <c r="D912" s="57"/>
      <c r="H912" s="58"/>
    </row>
    <row r="913">
      <c r="D913" s="57"/>
      <c r="H913" s="58"/>
    </row>
    <row r="914">
      <c r="D914" s="57"/>
      <c r="H914" s="58"/>
    </row>
    <row r="915">
      <c r="D915" s="57"/>
      <c r="H915" s="58"/>
    </row>
    <row r="916">
      <c r="D916" s="57"/>
      <c r="H916" s="58"/>
    </row>
    <row r="917">
      <c r="D917" s="57"/>
      <c r="H917" s="58"/>
    </row>
    <row r="918">
      <c r="D918" s="57"/>
      <c r="H918" s="58"/>
    </row>
    <row r="919">
      <c r="D919" s="57"/>
      <c r="H919" s="58"/>
    </row>
    <row r="920">
      <c r="D920" s="57"/>
      <c r="H920" s="58"/>
    </row>
    <row r="921">
      <c r="D921" s="57"/>
      <c r="H921" s="58"/>
    </row>
    <row r="922">
      <c r="D922" s="57"/>
      <c r="H922" s="58"/>
    </row>
    <row r="923">
      <c r="D923" s="57"/>
      <c r="H923" s="58"/>
    </row>
    <row r="924">
      <c r="D924" s="57"/>
      <c r="H924" s="58"/>
    </row>
    <row r="925">
      <c r="D925" s="57"/>
      <c r="H925" s="58"/>
    </row>
    <row r="926">
      <c r="D926" s="57"/>
      <c r="H926" s="58"/>
    </row>
    <row r="927">
      <c r="D927" s="57"/>
      <c r="H927" s="58"/>
    </row>
    <row r="928">
      <c r="D928" s="57"/>
      <c r="H928" s="58"/>
    </row>
    <row r="929">
      <c r="D929" s="57"/>
      <c r="H929" s="58"/>
    </row>
    <row r="930">
      <c r="D930" s="57"/>
      <c r="H930" s="58"/>
    </row>
    <row r="931">
      <c r="D931" s="57"/>
      <c r="H931" s="58"/>
    </row>
    <row r="932">
      <c r="D932" s="57"/>
      <c r="H932" s="58"/>
    </row>
    <row r="933">
      <c r="D933" s="57"/>
      <c r="H933" s="58"/>
    </row>
    <row r="934">
      <c r="D934" s="57"/>
      <c r="H934" s="58"/>
    </row>
    <row r="935">
      <c r="D935" s="57"/>
      <c r="H935" s="58"/>
    </row>
    <row r="936">
      <c r="D936" s="57"/>
      <c r="H936" s="58"/>
    </row>
    <row r="937">
      <c r="D937" s="57"/>
      <c r="H937" s="58"/>
    </row>
    <row r="938">
      <c r="D938" s="57"/>
      <c r="H938" s="58"/>
    </row>
    <row r="939">
      <c r="D939" s="57"/>
      <c r="H939" s="58"/>
    </row>
    <row r="940">
      <c r="D940" s="57"/>
      <c r="H940" s="58"/>
    </row>
    <row r="941">
      <c r="D941" s="57"/>
      <c r="H941" s="58"/>
    </row>
    <row r="942">
      <c r="D942" s="57"/>
      <c r="H942" s="58"/>
    </row>
    <row r="943">
      <c r="D943" s="57"/>
      <c r="H943" s="58"/>
    </row>
    <row r="944">
      <c r="D944" s="57"/>
      <c r="H944" s="58"/>
    </row>
    <row r="945">
      <c r="D945" s="57"/>
      <c r="H945" s="58"/>
    </row>
    <row r="946">
      <c r="D946" s="57"/>
      <c r="H946" s="58"/>
    </row>
    <row r="947">
      <c r="D947" s="57"/>
      <c r="H947" s="58"/>
    </row>
    <row r="948">
      <c r="D948" s="57"/>
      <c r="H948" s="58"/>
    </row>
    <row r="949">
      <c r="D949" s="57"/>
      <c r="H949" s="58"/>
    </row>
    <row r="950">
      <c r="D950" s="57"/>
      <c r="H950" s="58"/>
    </row>
    <row r="951">
      <c r="D951" s="57"/>
      <c r="H951" s="58"/>
    </row>
    <row r="952">
      <c r="D952" s="57"/>
      <c r="H952" s="58"/>
    </row>
    <row r="953">
      <c r="D953" s="57"/>
      <c r="H953" s="58"/>
    </row>
    <row r="954">
      <c r="D954" s="57"/>
      <c r="H954" s="58"/>
    </row>
    <row r="955">
      <c r="D955" s="57"/>
      <c r="H955" s="58"/>
    </row>
    <row r="956">
      <c r="D956" s="57"/>
      <c r="H956" s="58"/>
    </row>
    <row r="957">
      <c r="D957" s="57"/>
      <c r="H957" s="58"/>
    </row>
    <row r="958">
      <c r="D958" s="57"/>
      <c r="H958" s="58"/>
    </row>
    <row r="959">
      <c r="D959" s="57"/>
      <c r="H959" s="58"/>
    </row>
    <row r="960">
      <c r="D960" s="57"/>
      <c r="H960" s="58"/>
    </row>
    <row r="961">
      <c r="D961" s="57"/>
      <c r="H961" s="58"/>
    </row>
    <row r="962">
      <c r="D962" s="57"/>
      <c r="H962" s="58"/>
    </row>
    <row r="963">
      <c r="D963" s="57"/>
      <c r="H963" s="58"/>
    </row>
    <row r="964">
      <c r="D964" s="57"/>
      <c r="H964" s="58"/>
    </row>
    <row r="965">
      <c r="D965" s="57"/>
      <c r="H965" s="58"/>
    </row>
    <row r="966">
      <c r="D966" s="57"/>
      <c r="H966" s="58"/>
    </row>
    <row r="967">
      <c r="D967" s="57"/>
      <c r="H967" s="58"/>
    </row>
    <row r="968">
      <c r="D968" s="57"/>
      <c r="H968" s="58"/>
    </row>
    <row r="969">
      <c r="D969" s="57"/>
      <c r="H969" s="58"/>
    </row>
    <row r="970">
      <c r="D970" s="57"/>
      <c r="H970" s="58"/>
    </row>
    <row r="971">
      <c r="D971" s="57"/>
      <c r="H971" s="58"/>
    </row>
    <row r="972">
      <c r="D972" s="57"/>
      <c r="H972" s="58"/>
    </row>
    <row r="973">
      <c r="D973" s="57"/>
      <c r="H973" s="58"/>
    </row>
    <row r="974">
      <c r="D974" s="57"/>
      <c r="H974" s="58"/>
    </row>
    <row r="975">
      <c r="D975" s="57"/>
      <c r="H975" s="58"/>
    </row>
    <row r="976">
      <c r="D976" s="57"/>
      <c r="H976" s="58"/>
    </row>
    <row r="977">
      <c r="D977" s="57"/>
      <c r="H977" s="58"/>
    </row>
    <row r="978">
      <c r="D978" s="57"/>
      <c r="H978" s="58"/>
    </row>
    <row r="979">
      <c r="D979" s="57"/>
      <c r="H979" s="58"/>
    </row>
    <row r="980">
      <c r="D980" s="57"/>
      <c r="H980" s="58"/>
    </row>
    <row r="981">
      <c r="D981" s="57"/>
      <c r="H981" s="58"/>
    </row>
    <row r="982">
      <c r="D982" s="57"/>
      <c r="H982" s="58"/>
    </row>
    <row r="983">
      <c r="D983" s="57"/>
      <c r="H983" s="58"/>
    </row>
    <row r="984">
      <c r="D984" s="57"/>
      <c r="H984" s="58"/>
    </row>
    <row r="985">
      <c r="D985" s="57"/>
      <c r="H985" s="58"/>
    </row>
    <row r="986">
      <c r="D986" s="57"/>
      <c r="H986" s="5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83.38"/>
    <col customWidth="1" min="3" max="3" width="21.0"/>
  </cols>
  <sheetData>
    <row r="1">
      <c r="A1" s="3" t="s">
        <v>1</v>
      </c>
      <c r="B1" s="5" t="s">
        <v>8</v>
      </c>
      <c r="C1" s="7" t="s">
        <v>13</v>
      </c>
      <c r="D1" s="10" t="s">
        <v>15</v>
      </c>
      <c r="E1" s="11" t="s">
        <v>18</v>
      </c>
    </row>
    <row r="2">
      <c r="A2" s="14">
        <v>1.0</v>
      </c>
      <c r="B2" s="20" t="s">
        <v>29</v>
      </c>
      <c r="C2" s="20" t="s">
        <v>30</v>
      </c>
      <c r="D2" s="21">
        <v>6000000.0</v>
      </c>
      <c r="E2" s="14">
        <v>1.0</v>
      </c>
    </row>
    <row r="3">
      <c r="A3" s="14">
        <v>2.0</v>
      </c>
      <c r="B3" s="20" t="s">
        <v>34</v>
      </c>
      <c r="C3" s="20" t="s">
        <v>35</v>
      </c>
      <c r="D3" s="21">
        <v>1600000.0</v>
      </c>
      <c r="E3" s="14">
        <v>2.0</v>
      </c>
    </row>
    <row r="4">
      <c r="A4" s="14">
        <v>3.0</v>
      </c>
      <c r="B4" s="20" t="s">
        <v>41</v>
      </c>
      <c r="C4" s="20" t="s">
        <v>42</v>
      </c>
      <c r="D4" s="21">
        <v>20000.0</v>
      </c>
      <c r="E4" s="14">
        <v>3.0</v>
      </c>
    </row>
    <row r="5">
      <c r="A5" s="14">
        <v>4.0</v>
      </c>
      <c r="B5" s="20" t="s">
        <v>47</v>
      </c>
      <c r="C5" s="20" t="s">
        <v>49</v>
      </c>
      <c r="D5" s="21"/>
      <c r="E5" s="14"/>
    </row>
    <row r="6">
      <c r="A6" s="29">
        <v>4.1</v>
      </c>
      <c r="B6" s="20" t="s">
        <v>57</v>
      </c>
      <c r="C6" s="20" t="s">
        <v>49</v>
      </c>
      <c r="D6" s="21">
        <v>7500.0</v>
      </c>
      <c r="E6" s="29">
        <v>4.1</v>
      </c>
    </row>
    <row r="7">
      <c r="A7" s="29">
        <v>4.2</v>
      </c>
      <c r="B7" s="20" t="s">
        <v>61</v>
      </c>
      <c r="C7" s="20" t="s">
        <v>49</v>
      </c>
      <c r="D7" s="21">
        <v>7500.0</v>
      </c>
      <c r="E7" s="29">
        <v>4.2</v>
      </c>
    </row>
    <row r="8">
      <c r="A8" s="14">
        <v>5.0</v>
      </c>
      <c r="B8" s="20" t="s">
        <v>64</v>
      </c>
      <c r="C8" s="20" t="s">
        <v>43</v>
      </c>
      <c r="D8" s="21">
        <v>12000.0</v>
      </c>
      <c r="E8" s="14">
        <v>5.0</v>
      </c>
    </row>
    <row r="9">
      <c r="A9" s="14">
        <v>6.0</v>
      </c>
      <c r="B9" s="20" t="s">
        <v>69</v>
      </c>
      <c r="C9" s="20" t="s">
        <v>70</v>
      </c>
      <c r="D9" s="21">
        <v>1000.0</v>
      </c>
      <c r="E9" s="14">
        <v>6.0</v>
      </c>
    </row>
    <row r="10">
      <c r="A10" s="36">
        <v>7.0</v>
      </c>
      <c r="B10" s="20" t="s">
        <v>73</v>
      </c>
      <c r="C10" s="20" t="s">
        <v>74</v>
      </c>
      <c r="D10" s="21">
        <v>16750.0</v>
      </c>
      <c r="E10" s="36">
        <v>7.0</v>
      </c>
    </row>
    <row r="11">
      <c r="A11" s="38">
        <v>8.0</v>
      </c>
      <c r="B11" s="20" t="s">
        <v>80</v>
      </c>
      <c r="C11" s="20" t="s">
        <v>82</v>
      </c>
      <c r="D11" s="21"/>
      <c r="E11" s="14"/>
    </row>
    <row r="12">
      <c r="A12" s="40">
        <v>8.1</v>
      </c>
      <c r="B12" s="20" t="s">
        <v>87</v>
      </c>
      <c r="C12" s="20" t="s">
        <v>82</v>
      </c>
      <c r="D12" s="42">
        <v>3000.0</v>
      </c>
      <c r="E12" s="40">
        <v>8.1</v>
      </c>
    </row>
    <row r="13">
      <c r="A13" s="40">
        <v>8.2</v>
      </c>
      <c r="B13" s="20" t="s">
        <v>92</v>
      </c>
      <c r="C13" s="20" t="s">
        <v>82</v>
      </c>
      <c r="D13" s="42">
        <v>3000.0</v>
      </c>
      <c r="E13" s="40">
        <v>8.2</v>
      </c>
    </row>
    <row r="14">
      <c r="A14" s="40">
        <v>8.3</v>
      </c>
      <c r="B14" s="20" t="s">
        <v>95</v>
      </c>
      <c r="C14" s="20" t="s">
        <v>82</v>
      </c>
      <c r="D14" s="42">
        <v>3000.0</v>
      </c>
      <c r="E14" s="40">
        <v>8.3</v>
      </c>
    </row>
    <row r="15">
      <c r="A15" s="40">
        <v>8.4</v>
      </c>
      <c r="B15" s="20" t="s">
        <v>97</v>
      </c>
      <c r="C15" s="20" t="s">
        <v>82</v>
      </c>
      <c r="D15" s="42">
        <v>7000.0</v>
      </c>
      <c r="E15" s="40">
        <v>8.4</v>
      </c>
    </row>
    <row r="16">
      <c r="A16" s="40">
        <v>8.5</v>
      </c>
      <c r="B16" s="20" t="s">
        <v>100</v>
      </c>
      <c r="C16" s="20" t="s">
        <v>82</v>
      </c>
      <c r="D16" s="42">
        <v>2000.0</v>
      </c>
      <c r="E16" s="40">
        <v>8.5</v>
      </c>
    </row>
    <row r="17">
      <c r="A17" s="40">
        <v>8.6</v>
      </c>
      <c r="B17" s="20" t="s">
        <v>103</v>
      </c>
      <c r="C17" s="20" t="s">
        <v>82</v>
      </c>
      <c r="D17" s="42">
        <v>1500.0</v>
      </c>
      <c r="E17" s="40">
        <v>8.6</v>
      </c>
    </row>
    <row r="18">
      <c r="A18" s="40">
        <v>8.7</v>
      </c>
      <c r="B18" s="20" t="s">
        <v>107</v>
      </c>
      <c r="C18" s="20" t="s">
        <v>82</v>
      </c>
      <c r="D18" s="42">
        <v>2160.0</v>
      </c>
      <c r="E18" s="40">
        <v>8.7</v>
      </c>
    </row>
    <row r="19">
      <c r="A19" s="40">
        <v>8.8</v>
      </c>
      <c r="B19" s="20" t="s">
        <v>109</v>
      </c>
      <c r="C19" s="20" t="s">
        <v>82</v>
      </c>
      <c r="D19" s="42">
        <v>1500.0</v>
      </c>
      <c r="E19" s="40">
        <v>8.8</v>
      </c>
    </row>
    <row r="20">
      <c r="A20" s="40">
        <v>8.9</v>
      </c>
      <c r="B20" s="20" t="s">
        <v>114</v>
      </c>
      <c r="C20" s="20" t="s">
        <v>82</v>
      </c>
      <c r="D20" s="42">
        <v>1500.0</v>
      </c>
      <c r="E20" s="40">
        <v>8.9</v>
      </c>
    </row>
    <row r="21">
      <c r="A21" s="40">
        <v>8.1</v>
      </c>
      <c r="B21" s="20" t="s">
        <v>118</v>
      </c>
      <c r="C21" s="20" t="s">
        <v>82</v>
      </c>
      <c r="D21" s="42">
        <v>1500.0</v>
      </c>
      <c r="E21" s="40">
        <v>8.1</v>
      </c>
    </row>
    <row r="22">
      <c r="A22" s="40">
        <v>8.11</v>
      </c>
      <c r="B22" s="20" t="s">
        <v>123</v>
      </c>
      <c r="C22" s="20" t="s">
        <v>82</v>
      </c>
      <c r="D22" s="42">
        <v>1000.0</v>
      </c>
      <c r="E22" s="40">
        <v>8.11</v>
      </c>
    </row>
    <row r="23">
      <c r="A23" s="40">
        <v>8.12</v>
      </c>
      <c r="B23" s="20" t="s">
        <v>128</v>
      </c>
      <c r="C23" s="20" t="s">
        <v>82</v>
      </c>
      <c r="D23" s="42">
        <v>2840.0</v>
      </c>
      <c r="E23" s="40">
        <v>8.12</v>
      </c>
    </row>
    <row r="24">
      <c r="A24" s="14">
        <v>9.0</v>
      </c>
      <c r="B24" s="20" t="s">
        <v>134</v>
      </c>
      <c r="C24" s="20" t="s">
        <v>132</v>
      </c>
      <c r="D24" s="21">
        <v>6500.0</v>
      </c>
      <c r="E24" s="14">
        <v>9.0</v>
      </c>
    </row>
    <row r="25">
      <c r="A25" s="14">
        <v>10.0</v>
      </c>
      <c r="B25" s="20" t="s">
        <v>140</v>
      </c>
      <c r="C25" s="56" t="s">
        <v>83</v>
      </c>
      <c r="D25" s="21">
        <v>310000.0</v>
      </c>
      <c r="E25" s="14">
        <v>10.0</v>
      </c>
    </row>
    <row r="26">
      <c r="A26" s="14">
        <v>11.0</v>
      </c>
      <c r="B26" s="20" t="s">
        <v>147</v>
      </c>
      <c r="C26" s="20" t="s">
        <v>88</v>
      </c>
      <c r="D26" s="21">
        <v>90000.0</v>
      </c>
      <c r="E26" s="14">
        <v>11.0</v>
      </c>
    </row>
    <row r="27">
      <c r="A27" s="59">
        <v>12.0</v>
      </c>
      <c r="B27" s="20" t="s">
        <v>151</v>
      </c>
      <c r="C27" s="20" t="s">
        <v>152</v>
      </c>
      <c r="D27" s="60">
        <v>8000.0</v>
      </c>
      <c r="E27" s="59">
        <v>12.0</v>
      </c>
    </row>
    <row r="28">
      <c r="A28" s="36">
        <v>13.0</v>
      </c>
      <c r="B28" s="20" t="s">
        <v>156</v>
      </c>
      <c r="C28" s="20" t="s">
        <v>158</v>
      </c>
      <c r="D28" s="21"/>
      <c r="E28" s="36"/>
    </row>
    <row r="29">
      <c r="A29" s="29">
        <v>13.1</v>
      </c>
      <c r="B29" s="20" t="s">
        <v>162</v>
      </c>
      <c r="C29" s="20" t="s">
        <v>158</v>
      </c>
      <c r="D29" s="21">
        <v>10000.0</v>
      </c>
      <c r="E29" s="29">
        <v>13.1</v>
      </c>
    </row>
    <row r="30">
      <c r="A30" s="62">
        <v>14.0</v>
      </c>
      <c r="B30" s="20" t="s">
        <v>166</v>
      </c>
      <c r="C30" s="20" t="s">
        <v>167</v>
      </c>
      <c r="D30" s="21"/>
      <c r="E30" s="36"/>
    </row>
    <row r="31">
      <c r="A31" s="40">
        <v>14.1</v>
      </c>
      <c r="B31" s="20" t="s">
        <v>170</v>
      </c>
      <c r="C31" s="20" t="s">
        <v>167</v>
      </c>
      <c r="D31" s="21">
        <v>262.0</v>
      </c>
      <c r="E31" s="40">
        <v>14.1</v>
      </c>
    </row>
    <row r="32">
      <c r="A32" s="40">
        <v>14.2</v>
      </c>
      <c r="B32" s="20" t="s">
        <v>173</v>
      </c>
      <c r="C32" s="20" t="s">
        <v>167</v>
      </c>
      <c r="D32" s="21">
        <v>937.0</v>
      </c>
      <c r="E32" s="40">
        <v>14.2</v>
      </c>
    </row>
    <row r="33">
      <c r="A33" s="62">
        <v>15.0</v>
      </c>
      <c r="B33" s="20" t="s">
        <v>174</v>
      </c>
      <c r="C33" s="20" t="s">
        <v>176</v>
      </c>
      <c r="D33" s="21"/>
      <c r="E33" s="36"/>
    </row>
    <row r="34">
      <c r="A34" s="29">
        <v>15.1</v>
      </c>
      <c r="B34" s="20" t="s">
        <v>177</v>
      </c>
      <c r="C34" s="20" t="s">
        <v>176</v>
      </c>
      <c r="D34" s="21">
        <v>400.0</v>
      </c>
      <c r="E34" s="29">
        <v>15.1</v>
      </c>
    </row>
    <row r="35">
      <c r="A35" s="29">
        <v>15.2</v>
      </c>
      <c r="B35" s="20" t="s">
        <v>180</v>
      </c>
      <c r="C35" s="20" t="s">
        <v>176</v>
      </c>
      <c r="D35" s="21">
        <v>400.0</v>
      </c>
      <c r="E35" s="29">
        <v>15.2</v>
      </c>
    </row>
    <row r="36">
      <c r="A36" s="29">
        <v>15.3</v>
      </c>
      <c r="B36" s="20" t="s">
        <v>183</v>
      </c>
      <c r="C36" s="20" t="s">
        <v>176</v>
      </c>
      <c r="D36" s="21">
        <v>200.0</v>
      </c>
      <c r="E36" s="29">
        <v>15.3</v>
      </c>
    </row>
    <row r="37">
      <c r="A37" s="38">
        <v>16.0</v>
      </c>
      <c r="B37" s="20" t="s">
        <v>185</v>
      </c>
      <c r="C37" s="20" t="s">
        <v>25</v>
      </c>
      <c r="D37" s="21"/>
      <c r="E37" s="14"/>
    </row>
    <row r="38">
      <c r="A38" s="40">
        <v>16.1</v>
      </c>
      <c r="B38" s="20" t="s">
        <v>188</v>
      </c>
      <c r="C38" s="20" t="s">
        <v>25</v>
      </c>
      <c r="D38" s="42">
        <v>78250.0</v>
      </c>
      <c r="E38" s="40">
        <v>16.1</v>
      </c>
    </row>
    <row r="39">
      <c r="A39" s="40">
        <v>16.2</v>
      </c>
      <c r="B39" s="20" t="s">
        <v>190</v>
      </c>
      <c r="C39" s="20" t="s">
        <v>25</v>
      </c>
      <c r="D39" s="42">
        <v>110000.0</v>
      </c>
      <c r="E39" s="40">
        <v>16.2</v>
      </c>
    </row>
    <row r="40">
      <c r="A40" s="63">
        <v>16.3</v>
      </c>
      <c r="B40" s="20" t="s">
        <v>193</v>
      </c>
      <c r="C40" s="20" t="s">
        <v>25</v>
      </c>
      <c r="D40" s="42">
        <v>3000.0</v>
      </c>
      <c r="E40" s="63">
        <v>16.3</v>
      </c>
    </row>
    <row r="41">
      <c r="A41" s="64">
        <v>16.4</v>
      </c>
      <c r="B41" s="20" t="s">
        <v>196</v>
      </c>
      <c r="C41" s="20" t="s">
        <v>25</v>
      </c>
      <c r="D41" s="42">
        <v>4875.0</v>
      </c>
      <c r="E41" s="64">
        <v>16.4</v>
      </c>
    </row>
    <row r="42">
      <c r="A42" s="64">
        <v>16.5</v>
      </c>
      <c r="B42" s="20" t="s">
        <v>200</v>
      </c>
      <c r="C42" s="20" t="s">
        <v>25</v>
      </c>
      <c r="D42" s="42">
        <v>4500.0</v>
      </c>
      <c r="E42" s="64">
        <v>16.5</v>
      </c>
    </row>
    <row r="43">
      <c r="A43" s="64">
        <v>16.6</v>
      </c>
      <c r="B43" s="20" t="s">
        <v>202</v>
      </c>
      <c r="C43" s="20" t="s">
        <v>25</v>
      </c>
      <c r="D43" s="42">
        <v>2000.0</v>
      </c>
      <c r="E43" s="64">
        <v>16.6</v>
      </c>
    </row>
    <row r="44">
      <c r="A44" s="63">
        <v>16.11</v>
      </c>
      <c r="B44" s="20" t="s">
        <v>205</v>
      </c>
      <c r="C44" s="20" t="s">
        <v>25</v>
      </c>
      <c r="D44" s="42">
        <v>12375.0</v>
      </c>
      <c r="E44" s="63">
        <v>16.11</v>
      </c>
    </row>
    <row r="45">
      <c r="A45" s="65">
        <v>16.7</v>
      </c>
      <c r="B45" s="20" t="s">
        <v>209</v>
      </c>
      <c r="C45" s="20" t="s">
        <v>25</v>
      </c>
      <c r="D45" s="42"/>
      <c r="E45" s="65"/>
    </row>
    <row r="46">
      <c r="A46" s="63" t="s">
        <v>137</v>
      </c>
      <c r="B46" s="66" t="s">
        <v>211</v>
      </c>
      <c r="C46" s="20" t="s">
        <v>25</v>
      </c>
      <c r="D46" s="67">
        <v>1800.0</v>
      </c>
      <c r="E46" s="63" t="s">
        <v>137</v>
      </c>
    </row>
    <row r="47">
      <c r="A47" s="63" t="s">
        <v>59</v>
      </c>
      <c r="B47" s="66" t="s">
        <v>215</v>
      </c>
      <c r="C47" s="20" t="s">
        <v>25</v>
      </c>
      <c r="D47" s="67">
        <v>2300.0</v>
      </c>
      <c r="E47" s="63" t="s">
        <v>59</v>
      </c>
    </row>
    <row r="48">
      <c r="A48" s="63" t="s">
        <v>218</v>
      </c>
      <c r="B48" s="66" t="s">
        <v>219</v>
      </c>
      <c r="C48" s="20" t="s">
        <v>25</v>
      </c>
      <c r="D48" s="67">
        <v>1800.0</v>
      </c>
      <c r="E48" s="63" t="s">
        <v>218</v>
      </c>
    </row>
    <row r="49">
      <c r="A49" s="63" t="s">
        <v>26</v>
      </c>
      <c r="B49" s="66" t="s">
        <v>221</v>
      </c>
      <c r="C49" s="20" t="s">
        <v>25</v>
      </c>
      <c r="D49" s="67">
        <v>1800.0</v>
      </c>
      <c r="E49" s="63" t="s">
        <v>26</v>
      </c>
    </row>
    <row r="50">
      <c r="A50" s="63" t="s">
        <v>224</v>
      </c>
      <c r="B50" s="66" t="s">
        <v>227</v>
      </c>
      <c r="C50" s="20" t="s">
        <v>25</v>
      </c>
      <c r="D50" s="67">
        <v>1800.0</v>
      </c>
      <c r="E50" s="63" t="s">
        <v>224</v>
      </c>
    </row>
    <row r="51">
      <c r="A51" s="63" t="s">
        <v>159</v>
      </c>
      <c r="B51" s="66" t="s">
        <v>229</v>
      </c>
      <c r="C51" s="20" t="s">
        <v>25</v>
      </c>
      <c r="D51" s="67">
        <v>1800.0</v>
      </c>
      <c r="E51" s="63" t="s">
        <v>159</v>
      </c>
    </row>
    <row r="52">
      <c r="A52" s="63" t="s">
        <v>232</v>
      </c>
      <c r="B52" s="66" t="s">
        <v>233</v>
      </c>
      <c r="C52" s="20" t="s">
        <v>25</v>
      </c>
      <c r="D52" s="67">
        <v>1000.0</v>
      </c>
      <c r="E52" s="63" t="s">
        <v>232</v>
      </c>
    </row>
    <row r="53">
      <c r="A53" s="63" t="s">
        <v>235</v>
      </c>
      <c r="B53" s="66" t="s">
        <v>236</v>
      </c>
      <c r="C53" s="20" t="s">
        <v>25</v>
      </c>
      <c r="D53" s="67">
        <v>700.0</v>
      </c>
      <c r="E53" s="63" t="s">
        <v>235</v>
      </c>
    </row>
    <row r="54">
      <c r="A54" s="63" t="s">
        <v>240</v>
      </c>
      <c r="B54" s="66" t="s">
        <v>241</v>
      </c>
      <c r="C54" s="20" t="s">
        <v>25</v>
      </c>
      <c r="D54" s="67">
        <v>1000.0</v>
      </c>
      <c r="E54" s="63" t="s">
        <v>240</v>
      </c>
    </row>
    <row r="55">
      <c r="A55" s="63" t="s">
        <v>244</v>
      </c>
      <c r="B55" s="66" t="s">
        <v>245</v>
      </c>
      <c r="C55" s="20" t="s">
        <v>25</v>
      </c>
      <c r="D55" s="67">
        <v>500.0</v>
      </c>
      <c r="E55" s="63" t="s">
        <v>244</v>
      </c>
    </row>
    <row r="56">
      <c r="A56" s="63" t="s">
        <v>249</v>
      </c>
      <c r="B56" s="66" t="s">
        <v>252</v>
      </c>
      <c r="C56" s="20" t="s">
        <v>25</v>
      </c>
      <c r="D56" s="67">
        <v>500.0</v>
      </c>
      <c r="E56" s="63" t="s">
        <v>249</v>
      </c>
    </row>
    <row r="57">
      <c r="A57" s="63" t="s">
        <v>254</v>
      </c>
      <c r="B57" s="66" t="s">
        <v>255</v>
      </c>
      <c r="C57" s="20" t="s">
        <v>25</v>
      </c>
      <c r="D57" s="67">
        <v>500.0</v>
      </c>
      <c r="E57" s="63" t="s">
        <v>254</v>
      </c>
    </row>
    <row r="58">
      <c r="A58" s="63" t="s">
        <v>259</v>
      </c>
      <c r="B58" s="66" t="s">
        <v>261</v>
      </c>
      <c r="C58" s="20" t="s">
        <v>25</v>
      </c>
      <c r="D58" s="67">
        <v>500.0</v>
      </c>
      <c r="E58" s="63" t="s">
        <v>259</v>
      </c>
    </row>
    <row r="59">
      <c r="A59" s="63" t="s">
        <v>264</v>
      </c>
      <c r="B59" s="66" t="s">
        <v>265</v>
      </c>
      <c r="C59" s="20" t="s">
        <v>25</v>
      </c>
      <c r="D59" s="67">
        <v>1000.0</v>
      </c>
      <c r="E59" s="63" t="s">
        <v>264</v>
      </c>
    </row>
    <row r="60">
      <c r="A60" s="63" t="s">
        <v>269</v>
      </c>
      <c r="B60" s="66" t="s">
        <v>270</v>
      </c>
      <c r="C60" s="20" t="s">
        <v>25</v>
      </c>
      <c r="D60" s="67">
        <v>500.0</v>
      </c>
      <c r="E60" s="63" t="s">
        <v>269</v>
      </c>
    </row>
    <row r="61">
      <c r="A61" s="63" t="s">
        <v>272</v>
      </c>
      <c r="B61" s="66" t="s">
        <v>273</v>
      </c>
      <c r="C61" s="20" t="s">
        <v>25</v>
      </c>
      <c r="D61" s="67">
        <v>1500.0</v>
      </c>
      <c r="E61" s="63" t="s">
        <v>272</v>
      </c>
    </row>
    <row r="62">
      <c r="A62" s="63" t="s">
        <v>274</v>
      </c>
      <c r="B62" s="66" t="s">
        <v>275</v>
      </c>
      <c r="C62" s="20" t="s">
        <v>25</v>
      </c>
      <c r="D62" s="67">
        <v>2000.0</v>
      </c>
      <c r="E62" s="63" t="s">
        <v>274</v>
      </c>
    </row>
    <row r="63">
      <c r="A63" s="63" t="s">
        <v>54</v>
      </c>
      <c r="B63" s="66" t="s">
        <v>277</v>
      </c>
      <c r="C63" s="20" t="s">
        <v>25</v>
      </c>
      <c r="D63" s="67">
        <v>1000.0</v>
      </c>
      <c r="E63" s="63" t="s">
        <v>54</v>
      </c>
    </row>
    <row r="64">
      <c r="A64" s="63" t="s">
        <v>279</v>
      </c>
      <c r="B64" s="66" t="s">
        <v>280</v>
      </c>
      <c r="C64" s="20" t="s">
        <v>25</v>
      </c>
      <c r="D64" s="67">
        <v>1000.0</v>
      </c>
      <c r="E64" s="63" t="s">
        <v>279</v>
      </c>
    </row>
    <row r="65">
      <c r="A65" s="63" t="s">
        <v>283</v>
      </c>
      <c r="B65" s="66" t="s">
        <v>284</v>
      </c>
      <c r="C65" s="20" t="s">
        <v>25</v>
      </c>
      <c r="D65" s="67">
        <v>1000.0</v>
      </c>
      <c r="E65" s="63" t="s">
        <v>283</v>
      </c>
    </row>
    <row r="66">
      <c r="A66" s="63" t="s">
        <v>285</v>
      </c>
      <c r="B66" s="66" t="s">
        <v>286</v>
      </c>
      <c r="C66" s="20" t="s">
        <v>25</v>
      </c>
      <c r="D66" s="67">
        <v>1000.0</v>
      </c>
      <c r="E66" s="63" t="s">
        <v>285</v>
      </c>
    </row>
    <row r="67">
      <c r="A67" s="63" t="s">
        <v>290</v>
      </c>
      <c r="B67" s="66" t="s">
        <v>291</v>
      </c>
      <c r="C67" s="20" t="s">
        <v>25</v>
      </c>
      <c r="D67" s="67">
        <v>4000.0</v>
      </c>
      <c r="E67" s="63" t="s">
        <v>290</v>
      </c>
    </row>
    <row r="68">
      <c r="A68" s="63" t="s">
        <v>293</v>
      </c>
      <c r="B68" s="66" t="s">
        <v>295</v>
      </c>
      <c r="C68" s="20" t="s">
        <v>25</v>
      </c>
      <c r="D68" s="67">
        <v>4400.0</v>
      </c>
      <c r="E68" s="63" t="s">
        <v>293</v>
      </c>
    </row>
    <row r="69">
      <c r="A69" s="63" t="s">
        <v>296</v>
      </c>
      <c r="B69" s="66" t="s">
        <v>297</v>
      </c>
      <c r="C69" s="20" t="s">
        <v>25</v>
      </c>
      <c r="D69" s="67">
        <v>4200.0</v>
      </c>
      <c r="E69" s="63" t="s">
        <v>296</v>
      </c>
    </row>
    <row r="70">
      <c r="A70" s="63" t="s">
        <v>46</v>
      </c>
      <c r="B70" s="66" t="s">
        <v>301</v>
      </c>
      <c r="C70" s="20" t="s">
        <v>25</v>
      </c>
      <c r="D70" s="67">
        <v>1400.0</v>
      </c>
      <c r="E70" s="63" t="s">
        <v>46</v>
      </c>
    </row>
    <row r="71">
      <c r="A71" s="63" t="s">
        <v>120</v>
      </c>
      <c r="B71" s="66" t="s">
        <v>305</v>
      </c>
      <c r="C71" s="20" t="s">
        <v>25</v>
      </c>
      <c r="D71" s="67">
        <v>3000.0</v>
      </c>
      <c r="E71" s="63" t="s">
        <v>120</v>
      </c>
    </row>
    <row r="72">
      <c r="A72" s="63" t="s">
        <v>306</v>
      </c>
      <c r="B72" s="66" t="s">
        <v>307</v>
      </c>
      <c r="C72" s="20" t="s">
        <v>25</v>
      </c>
      <c r="D72" s="67">
        <v>4000.0</v>
      </c>
      <c r="E72" s="63" t="s">
        <v>306</v>
      </c>
    </row>
    <row r="73">
      <c r="A73" s="63" t="s">
        <v>142</v>
      </c>
      <c r="B73" s="66" t="s">
        <v>311</v>
      </c>
      <c r="C73" s="20" t="s">
        <v>25</v>
      </c>
      <c r="D73" s="67">
        <v>4000.0</v>
      </c>
      <c r="E73" s="63" t="s">
        <v>142</v>
      </c>
    </row>
    <row r="74">
      <c r="A74" s="63" t="s">
        <v>247</v>
      </c>
      <c r="B74" s="66" t="s">
        <v>313</v>
      </c>
      <c r="C74" s="20" t="s">
        <v>25</v>
      </c>
      <c r="D74" s="67">
        <v>4000.0</v>
      </c>
      <c r="E74" s="63" t="s">
        <v>247</v>
      </c>
    </row>
    <row r="75">
      <c r="A75" s="65">
        <v>16.8</v>
      </c>
      <c r="B75" s="20" t="s">
        <v>316</v>
      </c>
      <c r="C75" s="20" t="s">
        <v>25</v>
      </c>
      <c r="D75" s="42">
        <v>10000.0</v>
      </c>
      <c r="E75" s="65">
        <v>16.8</v>
      </c>
    </row>
    <row r="76">
      <c r="A76" s="65">
        <v>16.9</v>
      </c>
      <c r="B76" s="20" t="s">
        <v>321</v>
      </c>
      <c r="C76" s="20" t="s">
        <v>25</v>
      </c>
      <c r="D76" s="42"/>
      <c r="E76" s="65">
        <v>16.9</v>
      </c>
    </row>
    <row r="77">
      <c r="A77" s="63" t="s">
        <v>323</v>
      </c>
      <c r="B77" s="66" t="s">
        <v>324</v>
      </c>
      <c r="C77" s="20" t="s">
        <v>25</v>
      </c>
      <c r="D77" s="67">
        <v>1500.0</v>
      </c>
      <c r="E77" s="63" t="s">
        <v>323</v>
      </c>
    </row>
    <row r="78">
      <c r="A78" s="63" t="s">
        <v>327</v>
      </c>
      <c r="B78" s="66" t="s">
        <v>328</v>
      </c>
      <c r="C78" s="20" t="s">
        <v>25</v>
      </c>
      <c r="D78" s="67">
        <v>1500.0</v>
      </c>
      <c r="E78" s="63" t="s">
        <v>327</v>
      </c>
    </row>
    <row r="79">
      <c r="A79" s="63" t="s">
        <v>330</v>
      </c>
      <c r="B79" s="66" t="s">
        <v>331</v>
      </c>
      <c r="C79" s="20" t="s">
        <v>25</v>
      </c>
      <c r="D79" s="67">
        <v>1500.0</v>
      </c>
      <c r="E79" s="63" t="s">
        <v>330</v>
      </c>
    </row>
    <row r="80">
      <c r="A80" s="63" t="s">
        <v>127</v>
      </c>
      <c r="B80" s="66" t="s">
        <v>333</v>
      </c>
      <c r="C80" s="20" t="s">
        <v>25</v>
      </c>
      <c r="D80" s="67">
        <v>1000.0</v>
      </c>
      <c r="E80" s="63" t="s">
        <v>127</v>
      </c>
    </row>
    <row r="81">
      <c r="A81" s="63" t="s">
        <v>334</v>
      </c>
      <c r="B81" s="66" t="s">
        <v>336</v>
      </c>
      <c r="C81" s="20" t="s">
        <v>25</v>
      </c>
      <c r="D81" s="67">
        <v>1500.0</v>
      </c>
      <c r="E81" s="63" t="s">
        <v>334</v>
      </c>
    </row>
    <row r="82">
      <c r="A82" s="63" t="s">
        <v>337</v>
      </c>
      <c r="B82" s="66" t="s">
        <v>338</v>
      </c>
      <c r="C82" s="20" t="s">
        <v>25</v>
      </c>
      <c r="D82" s="67">
        <v>1500.0</v>
      </c>
      <c r="E82" s="63" t="s">
        <v>337</v>
      </c>
    </row>
    <row r="83">
      <c r="A83" s="63" t="s">
        <v>340</v>
      </c>
      <c r="B83" s="66" t="s">
        <v>341</v>
      </c>
      <c r="C83" s="20" t="s">
        <v>25</v>
      </c>
      <c r="D83" s="67">
        <v>1500.0</v>
      </c>
      <c r="E83" s="63" t="s">
        <v>340</v>
      </c>
    </row>
    <row r="84">
      <c r="A84" s="63" t="s">
        <v>343</v>
      </c>
      <c r="B84" s="66" t="s">
        <v>344</v>
      </c>
      <c r="C84" s="20" t="s">
        <v>25</v>
      </c>
      <c r="D84" s="67">
        <v>1000.0</v>
      </c>
      <c r="E84" s="63" t="s">
        <v>343</v>
      </c>
    </row>
    <row r="85">
      <c r="A85" s="75">
        <v>16.1</v>
      </c>
      <c r="B85" s="20" t="s">
        <v>349</v>
      </c>
      <c r="C85" s="20" t="s">
        <v>25</v>
      </c>
      <c r="D85" s="42">
        <v>10000.0</v>
      </c>
      <c r="E85" s="75">
        <v>16.1</v>
      </c>
    </row>
    <row r="86">
      <c r="A86" s="38">
        <v>17.0</v>
      </c>
      <c r="B86" s="20" t="s">
        <v>351</v>
      </c>
      <c r="C86" s="20" t="s">
        <v>352</v>
      </c>
      <c r="D86" s="21">
        <v>10000.0</v>
      </c>
      <c r="E86" s="38">
        <v>17.0</v>
      </c>
    </row>
    <row r="87">
      <c r="A87" s="64">
        <v>17.1</v>
      </c>
      <c r="B87" s="20" t="s">
        <v>353</v>
      </c>
      <c r="C87" s="20" t="s">
        <v>352</v>
      </c>
      <c r="D87" s="42">
        <v>10000.0</v>
      </c>
      <c r="E87" s="64">
        <v>17.1</v>
      </c>
    </row>
    <row r="88">
      <c r="A88" s="79"/>
      <c r="D88" s="80"/>
      <c r="E88" s="81"/>
    </row>
    <row r="89">
      <c r="A89" s="79"/>
      <c r="D89" s="80"/>
      <c r="E89" s="81"/>
    </row>
    <row r="90">
      <c r="A90" s="79"/>
      <c r="D90" s="80"/>
      <c r="E90" s="81"/>
    </row>
    <row r="91">
      <c r="A91" s="79"/>
      <c r="D91" s="80"/>
      <c r="E91" s="81"/>
    </row>
    <row r="92">
      <c r="A92" s="79"/>
      <c r="D92" s="80"/>
      <c r="E92" s="81"/>
    </row>
    <row r="93">
      <c r="A93" s="79"/>
      <c r="D93" s="80"/>
      <c r="E93" s="81"/>
    </row>
    <row r="94">
      <c r="A94" s="79"/>
      <c r="D94" s="80"/>
      <c r="E94" s="81"/>
    </row>
    <row r="95">
      <c r="A95" s="79"/>
      <c r="D95" s="80"/>
      <c r="E95" s="81"/>
    </row>
    <row r="96">
      <c r="A96" s="79"/>
      <c r="D96" s="80"/>
      <c r="E96" s="81"/>
    </row>
    <row r="97">
      <c r="A97" s="79"/>
      <c r="D97" s="80"/>
      <c r="E97" s="81"/>
    </row>
    <row r="98">
      <c r="A98" s="79"/>
      <c r="D98" s="80"/>
      <c r="E98" s="81"/>
    </row>
    <row r="99">
      <c r="A99" s="79"/>
      <c r="D99" s="80"/>
      <c r="E99" s="81"/>
    </row>
    <row r="100">
      <c r="A100" s="79"/>
      <c r="D100" s="80"/>
      <c r="E100" s="81"/>
    </row>
    <row r="101">
      <c r="A101" s="79"/>
      <c r="D101" s="80"/>
      <c r="E101" s="81"/>
    </row>
    <row r="102">
      <c r="A102" s="79"/>
      <c r="D102" s="80"/>
      <c r="E102" s="81"/>
    </row>
    <row r="103">
      <c r="A103" s="79"/>
      <c r="D103" s="80"/>
      <c r="E103" s="81"/>
    </row>
    <row r="104">
      <c r="A104" s="79"/>
      <c r="D104" s="80"/>
      <c r="E104" s="81"/>
    </row>
    <row r="105">
      <c r="A105" s="79"/>
      <c r="D105" s="80"/>
      <c r="E105" s="81"/>
    </row>
    <row r="106">
      <c r="A106" s="79"/>
      <c r="D106" s="80"/>
      <c r="E106" s="81"/>
    </row>
    <row r="107">
      <c r="A107" s="79"/>
      <c r="D107" s="80"/>
      <c r="E107" s="81"/>
    </row>
    <row r="108">
      <c r="A108" s="79"/>
      <c r="D108" s="80"/>
      <c r="E108" s="81"/>
    </row>
    <row r="109">
      <c r="A109" s="79"/>
      <c r="D109" s="80"/>
      <c r="E109" s="81"/>
    </row>
    <row r="110">
      <c r="A110" s="79"/>
      <c r="D110" s="80"/>
      <c r="E110" s="81"/>
    </row>
    <row r="111">
      <c r="A111" s="79"/>
      <c r="D111" s="80"/>
      <c r="E111" s="81"/>
    </row>
    <row r="112">
      <c r="A112" s="79"/>
      <c r="D112" s="80"/>
      <c r="E112" s="81"/>
    </row>
    <row r="113">
      <c r="A113" s="79"/>
      <c r="D113" s="80"/>
      <c r="E113" s="81"/>
    </row>
    <row r="114">
      <c r="A114" s="79"/>
      <c r="D114" s="80"/>
      <c r="E114" s="81"/>
    </row>
    <row r="115">
      <c r="A115" s="79"/>
      <c r="D115" s="80"/>
      <c r="E115" s="81"/>
    </row>
    <row r="116">
      <c r="A116" s="79"/>
      <c r="D116" s="80"/>
      <c r="E116" s="81"/>
    </row>
    <row r="117">
      <c r="A117" s="79"/>
      <c r="D117" s="80"/>
      <c r="E117" s="81"/>
    </row>
    <row r="118">
      <c r="A118" s="79"/>
      <c r="D118" s="80"/>
      <c r="E118" s="81"/>
    </row>
    <row r="119">
      <c r="A119" s="79"/>
      <c r="D119" s="80"/>
      <c r="E119" s="81"/>
    </row>
    <row r="120">
      <c r="A120" s="79"/>
      <c r="D120" s="80"/>
      <c r="E120" s="81"/>
    </row>
    <row r="121">
      <c r="A121" s="79"/>
      <c r="D121" s="80"/>
      <c r="E121" s="81"/>
    </row>
    <row r="122">
      <c r="A122" s="79"/>
      <c r="D122" s="80"/>
      <c r="E122" s="81"/>
    </row>
    <row r="123">
      <c r="A123" s="79"/>
      <c r="D123" s="80"/>
      <c r="E123" s="81"/>
    </row>
    <row r="124">
      <c r="A124" s="79"/>
      <c r="D124" s="80"/>
      <c r="E124" s="81"/>
    </row>
    <row r="125">
      <c r="A125" s="79"/>
      <c r="D125" s="80"/>
      <c r="E125" s="81"/>
    </row>
    <row r="126">
      <c r="A126" s="79"/>
      <c r="D126" s="80"/>
      <c r="E126" s="81"/>
    </row>
    <row r="127">
      <c r="A127" s="79"/>
      <c r="D127" s="80"/>
      <c r="E127" s="81"/>
    </row>
    <row r="128">
      <c r="A128" s="79"/>
      <c r="D128" s="80"/>
      <c r="E128" s="81"/>
    </row>
    <row r="129">
      <c r="A129" s="79"/>
      <c r="D129" s="80"/>
      <c r="E129" s="81"/>
    </row>
    <row r="130">
      <c r="A130" s="79"/>
      <c r="D130" s="80"/>
      <c r="E130" s="81"/>
    </row>
    <row r="131">
      <c r="A131" s="79"/>
      <c r="D131" s="80"/>
      <c r="E131" s="81"/>
    </row>
    <row r="132">
      <c r="A132" s="79"/>
      <c r="D132" s="80"/>
      <c r="E132" s="81"/>
    </row>
    <row r="133">
      <c r="A133" s="79"/>
      <c r="D133" s="80"/>
      <c r="E133" s="81"/>
    </row>
    <row r="134">
      <c r="A134" s="79"/>
      <c r="D134" s="80"/>
      <c r="E134" s="81"/>
    </row>
    <row r="135">
      <c r="A135" s="79"/>
      <c r="D135" s="80"/>
      <c r="E135" s="81"/>
    </row>
    <row r="136">
      <c r="A136" s="79"/>
      <c r="D136" s="80"/>
      <c r="E136" s="81"/>
    </row>
    <row r="137">
      <c r="A137" s="79"/>
      <c r="D137" s="80"/>
      <c r="E137" s="81"/>
    </row>
    <row r="138">
      <c r="A138" s="79"/>
      <c r="D138" s="80"/>
      <c r="E138" s="81"/>
    </row>
    <row r="139">
      <c r="A139" s="79"/>
      <c r="D139" s="80"/>
      <c r="E139" s="81"/>
    </row>
    <row r="140">
      <c r="A140" s="79"/>
      <c r="D140" s="80"/>
      <c r="E140" s="81"/>
    </row>
    <row r="141">
      <c r="A141" s="79"/>
      <c r="D141" s="80"/>
      <c r="E141" s="81"/>
    </row>
    <row r="142">
      <c r="A142" s="79"/>
      <c r="D142" s="80"/>
      <c r="E142" s="81"/>
    </row>
    <row r="143">
      <c r="A143" s="79"/>
      <c r="D143" s="80"/>
      <c r="E143" s="81"/>
    </row>
    <row r="144">
      <c r="A144" s="79"/>
      <c r="D144" s="80"/>
      <c r="E144" s="81"/>
    </row>
    <row r="145">
      <c r="A145" s="79"/>
      <c r="D145" s="80"/>
      <c r="E145" s="81"/>
    </row>
    <row r="146">
      <c r="A146" s="79"/>
      <c r="D146" s="80"/>
      <c r="E146" s="81"/>
    </row>
    <row r="147">
      <c r="A147" s="79"/>
      <c r="D147" s="80"/>
      <c r="E147" s="81"/>
    </row>
    <row r="148">
      <c r="A148" s="79"/>
      <c r="D148" s="80"/>
      <c r="E148" s="81"/>
    </row>
    <row r="149">
      <c r="A149" s="79"/>
      <c r="D149" s="80"/>
      <c r="E149" s="81"/>
    </row>
    <row r="150">
      <c r="A150" s="79"/>
      <c r="D150" s="80"/>
      <c r="E150" s="81"/>
    </row>
    <row r="151">
      <c r="A151" s="79"/>
      <c r="D151" s="80"/>
      <c r="E151" s="81"/>
    </row>
    <row r="152">
      <c r="A152" s="79"/>
      <c r="D152" s="80"/>
      <c r="E152" s="81"/>
    </row>
    <row r="153">
      <c r="A153" s="79"/>
      <c r="D153" s="80"/>
      <c r="E153" s="81"/>
    </row>
    <row r="154">
      <c r="A154" s="79"/>
      <c r="D154" s="80"/>
      <c r="E154" s="81"/>
    </row>
    <row r="155">
      <c r="A155" s="79"/>
      <c r="D155" s="80"/>
      <c r="E155" s="81"/>
    </row>
    <row r="156">
      <c r="A156" s="79"/>
      <c r="D156" s="80"/>
      <c r="E156" s="81"/>
    </row>
    <row r="157">
      <c r="A157" s="79"/>
      <c r="D157" s="80"/>
      <c r="E157" s="81"/>
    </row>
    <row r="158">
      <c r="A158" s="79"/>
      <c r="D158" s="80"/>
      <c r="E158" s="81"/>
    </row>
    <row r="159">
      <c r="A159" s="79"/>
      <c r="D159" s="80"/>
      <c r="E159" s="81"/>
    </row>
    <row r="160">
      <c r="A160" s="79"/>
      <c r="D160" s="80"/>
      <c r="E160" s="81"/>
    </row>
    <row r="161">
      <c r="A161" s="79"/>
      <c r="D161" s="80"/>
      <c r="E161" s="81"/>
    </row>
    <row r="162">
      <c r="A162" s="79"/>
      <c r="D162" s="80"/>
      <c r="E162" s="81"/>
    </row>
    <row r="163">
      <c r="A163" s="79"/>
      <c r="D163" s="80"/>
      <c r="E163" s="81"/>
    </row>
    <row r="164">
      <c r="A164" s="79"/>
      <c r="D164" s="80"/>
      <c r="E164" s="81"/>
    </row>
    <row r="165">
      <c r="A165" s="79"/>
      <c r="D165" s="80"/>
      <c r="E165" s="81"/>
    </row>
    <row r="166">
      <c r="A166" s="79"/>
      <c r="D166" s="80"/>
      <c r="E166" s="81"/>
    </row>
    <row r="167">
      <c r="A167" s="79"/>
      <c r="D167" s="80"/>
      <c r="E167" s="81"/>
    </row>
    <row r="168">
      <c r="A168" s="79"/>
      <c r="D168" s="80"/>
      <c r="E168" s="81"/>
    </row>
    <row r="169">
      <c r="A169" s="79"/>
      <c r="D169" s="80"/>
      <c r="E169" s="81"/>
    </row>
    <row r="170">
      <c r="A170" s="79"/>
      <c r="D170" s="80"/>
      <c r="E170" s="81"/>
    </row>
    <row r="171">
      <c r="A171" s="79"/>
      <c r="D171" s="80"/>
      <c r="E171" s="81"/>
    </row>
    <row r="172">
      <c r="A172" s="79"/>
      <c r="D172" s="80"/>
      <c r="E172" s="81"/>
    </row>
    <row r="173">
      <c r="A173" s="79"/>
      <c r="D173" s="80"/>
      <c r="E173" s="81"/>
    </row>
    <row r="174">
      <c r="A174" s="79"/>
      <c r="D174" s="80"/>
      <c r="E174" s="81"/>
    </row>
    <row r="175">
      <c r="A175" s="79"/>
      <c r="D175" s="80"/>
      <c r="E175" s="81"/>
    </row>
    <row r="176">
      <c r="A176" s="79"/>
      <c r="D176" s="80"/>
      <c r="E176" s="81"/>
    </row>
    <row r="177">
      <c r="A177" s="79"/>
      <c r="D177" s="80"/>
      <c r="E177" s="81"/>
    </row>
    <row r="178">
      <c r="A178" s="79"/>
      <c r="D178" s="80"/>
      <c r="E178" s="81"/>
    </row>
    <row r="179">
      <c r="A179" s="79"/>
      <c r="D179" s="80"/>
      <c r="E179" s="81"/>
    </row>
    <row r="180">
      <c r="A180" s="79"/>
      <c r="D180" s="80"/>
      <c r="E180" s="81"/>
    </row>
    <row r="181">
      <c r="A181" s="79"/>
      <c r="D181" s="80"/>
      <c r="E181" s="81"/>
    </row>
    <row r="182">
      <c r="A182" s="79"/>
      <c r="D182" s="80"/>
      <c r="E182" s="81"/>
    </row>
    <row r="183">
      <c r="A183" s="79"/>
      <c r="D183" s="80"/>
      <c r="E183" s="81"/>
    </row>
    <row r="184">
      <c r="A184" s="79"/>
      <c r="D184" s="80"/>
      <c r="E184" s="81"/>
    </row>
    <row r="185">
      <c r="A185" s="79"/>
      <c r="D185" s="80"/>
      <c r="E185" s="81"/>
    </row>
    <row r="186">
      <c r="A186" s="79"/>
      <c r="D186" s="80"/>
      <c r="E186" s="81"/>
    </row>
    <row r="187">
      <c r="A187" s="79"/>
      <c r="D187" s="80"/>
      <c r="E187" s="81"/>
    </row>
    <row r="188">
      <c r="A188" s="79"/>
      <c r="D188" s="80"/>
      <c r="E188" s="81"/>
    </row>
    <row r="189">
      <c r="A189" s="79"/>
      <c r="D189" s="80"/>
      <c r="E189" s="81"/>
    </row>
    <row r="190">
      <c r="A190" s="79"/>
      <c r="D190" s="80"/>
      <c r="E190" s="81"/>
    </row>
    <row r="191">
      <c r="A191" s="79"/>
      <c r="D191" s="80"/>
      <c r="E191" s="81"/>
    </row>
    <row r="192">
      <c r="A192" s="79"/>
      <c r="D192" s="80"/>
      <c r="E192" s="81"/>
    </row>
    <row r="193">
      <c r="A193" s="79"/>
      <c r="D193" s="80"/>
      <c r="E193" s="81"/>
    </row>
    <row r="194">
      <c r="A194" s="79"/>
      <c r="D194" s="80"/>
      <c r="E194" s="81"/>
    </row>
    <row r="195">
      <c r="A195" s="79"/>
      <c r="D195" s="80"/>
      <c r="E195" s="81"/>
    </row>
    <row r="196">
      <c r="A196" s="79"/>
      <c r="D196" s="80"/>
      <c r="E196" s="81"/>
    </row>
    <row r="197">
      <c r="A197" s="79"/>
      <c r="D197" s="80"/>
      <c r="E197" s="81"/>
    </row>
    <row r="198">
      <c r="A198" s="79"/>
      <c r="D198" s="80"/>
      <c r="E198" s="81"/>
    </row>
    <row r="199">
      <c r="A199" s="79"/>
      <c r="D199" s="80"/>
      <c r="E199" s="81"/>
    </row>
    <row r="200">
      <c r="A200" s="79"/>
      <c r="D200" s="80"/>
      <c r="E200" s="81"/>
    </row>
    <row r="201">
      <c r="A201" s="79"/>
      <c r="D201" s="80"/>
      <c r="E201" s="81"/>
    </row>
    <row r="202">
      <c r="A202" s="79"/>
      <c r="D202" s="80"/>
      <c r="E202" s="81"/>
    </row>
    <row r="203">
      <c r="A203" s="79"/>
      <c r="D203" s="80"/>
      <c r="E203" s="81"/>
    </row>
    <row r="204">
      <c r="A204" s="79"/>
      <c r="D204" s="80"/>
      <c r="E204" s="81"/>
    </row>
    <row r="205">
      <c r="A205" s="79"/>
      <c r="D205" s="80"/>
      <c r="E205" s="81"/>
    </row>
    <row r="206">
      <c r="A206" s="79"/>
      <c r="D206" s="80"/>
      <c r="E206" s="81"/>
    </row>
    <row r="207">
      <c r="A207" s="79"/>
      <c r="D207" s="80"/>
      <c r="E207" s="81"/>
    </row>
    <row r="208">
      <c r="A208" s="79"/>
      <c r="D208" s="80"/>
      <c r="E208" s="81"/>
    </row>
    <row r="209">
      <c r="A209" s="79"/>
      <c r="D209" s="80"/>
      <c r="E209" s="81"/>
    </row>
    <row r="210">
      <c r="A210" s="79"/>
      <c r="D210" s="80"/>
      <c r="E210" s="81"/>
    </row>
    <row r="211">
      <c r="A211" s="79"/>
      <c r="D211" s="80"/>
      <c r="E211" s="81"/>
    </row>
    <row r="212">
      <c r="A212" s="79"/>
      <c r="D212" s="80"/>
      <c r="E212" s="81"/>
    </row>
    <row r="213">
      <c r="A213" s="79"/>
      <c r="D213" s="80"/>
      <c r="E213" s="81"/>
    </row>
    <row r="214">
      <c r="A214" s="79"/>
      <c r="D214" s="80"/>
      <c r="E214" s="81"/>
    </row>
    <row r="215">
      <c r="A215" s="79"/>
      <c r="D215" s="80"/>
      <c r="E215" s="81"/>
    </row>
    <row r="216">
      <c r="A216" s="79"/>
      <c r="D216" s="80"/>
      <c r="E216" s="81"/>
    </row>
    <row r="217">
      <c r="A217" s="79"/>
      <c r="D217" s="80"/>
      <c r="E217" s="81"/>
    </row>
    <row r="218">
      <c r="A218" s="79"/>
      <c r="D218" s="80"/>
      <c r="E218" s="81"/>
    </row>
    <row r="219">
      <c r="A219" s="79"/>
      <c r="D219" s="80"/>
      <c r="E219" s="81"/>
    </row>
    <row r="220">
      <c r="A220" s="79"/>
      <c r="D220" s="80"/>
      <c r="E220" s="81"/>
    </row>
    <row r="221">
      <c r="A221" s="79"/>
      <c r="D221" s="80"/>
      <c r="E221" s="81"/>
    </row>
    <row r="222">
      <c r="A222" s="79"/>
      <c r="D222" s="80"/>
      <c r="E222" s="81"/>
    </row>
    <row r="223">
      <c r="A223" s="79"/>
      <c r="D223" s="80"/>
      <c r="E223" s="81"/>
    </row>
    <row r="224">
      <c r="A224" s="79"/>
      <c r="D224" s="80"/>
      <c r="E224" s="81"/>
    </row>
    <row r="225">
      <c r="A225" s="79"/>
      <c r="D225" s="80"/>
      <c r="E225" s="81"/>
    </row>
    <row r="226">
      <c r="A226" s="79"/>
      <c r="D226" s="80"/>
      <c r="E226" s="81"/>
    </row>
    <row r="227">
      <c r="A227" s="79"/>
      <c r="D227" s="80"/>
      <c r="E227" s="81"/>
    </row>
    <row r="228">
      <c r="A228" s="79"/>
      <c r="D228" s="80"/>
      <c r="E228" s="81"/>
    </row>
    <row r="229">
      <c r="A229" s="79"/>
      <c r="D229" s="80"/>
      <c r="E229" s="81"/>
    </row>
    <row r="230">
      <c r="A230" s="79"/>
      <c r="D230" s="80"/>
      <c r="E230" s="81"/>
    </row>
    <row r="231">
      <c r="A231" s="79"/>
      <c r="D231" s="80"/>
      <c r="E231" s="81"/>
    </row>
    <row r="232">
      <c r="A232" s="79"/>
      <c r="D232" s="80"/>
      <c r="E232" s="81"/>
    </row>
    <row r="233">
      <c r="A233" s="79"/>
      <c r="D233" s="80"/>
      <c r="E233" s="81"/>
    </row>
    <row r="234">
      <c r="A234" s="79"/>
      <c r="D234" s="80"/>
      <c r="E234" s="81"/>
    </row>
    <row r="235">
      <c r="A235" s="79"/>
      <c r="D235" s="80"/>
      <c r="E235" s="81"/>
    </row>
    <row r="236">
      <c r="A236" s="79"/>
      <c r="D236" s="80"/>
      <c r="E236" s="81"/>
    </row>
    <row r="237">
      <c r="A237" s="79"/>
      <c r="D237" s="80"/>
      <c r="E237" s="81"/>
    </row>
    <row r="238">
      <c r="A238" s="79"/>
      <c r="D238" s="80"/>
      <c r="E238" s="81"/>
    </row>
    <row r="239">
      <c r="A239" s="79"/>
      <c r="D239" s="80"/>
      <c r="E239" s="81"/>
    </row>
    <row r="240">
      <c r="A240" s="79"/>
      <c r="D240" s="80"/>
      <c r="E240" s="81"/>
    </row>
    <row r="241">
      <c r="A241" s="79"/>
      <c r="D241" s="80"/>
      <c r="E241" s="81"/>
    </row>
    <row r="242">
      <c r="A242" s="79"/>
      <c r="D242" s="80"/>
      <c r="E242" s="81"/>
    </row>
    <row r="243">
      <c r="A243" s="79"/>
      <c r="D243" s="80"/>
      <c r="E243" s="81"/>
    </row>
    <row r="244">
      <c r="A244" s="79"/>
      <c r="D244" s="80"/>
      <c r="E244" s="81"/>
    </row>
    <row r="245">
      <c r="A245" s="79"/>
      <c r="D245" s="80"/>
      <c r="E245" s="81"/>
    </row>
    <row r="246">
      <c r="A246" s="79"/>
      <c r="D246" s="80"/>
      <c r="E246" s="81"/>
    </row>
    <row r="247">
      <c r="A247" s="79"/>
      <c r="D247" s="80"/>
      <c r="E247" s="81"/>
    </row>
    <row r="248">
      <c r="A248" s="79"/>
      <c r="D248" s="80"/>
      <c r="E248" s="81"/>
    </row>
    <row r="249">
      <c r="A249" s="79"/>
      <c r="D249" s="80"/>
      <c r="E249" s="81"/>
    </row>
    <row r="250">
      <c r="A250" s="79"/>
      <c r="D250" s="80"/>
      <c r="E250" s="81"/>
    </row>
    <row r="251">
      <c r="A251" s="79"/>
      <c r="D251" s="80"/>
      <c r="E251" s="81"/>
    </row>
    <row r="252">
      <c r="A252" s="79"/>
      <c r="D252" s="80"/>
      <c r="E252" s="81"/>
    </row>
    <row r="253">
      <c r="A253" s="79"/>
      <c r="D253" s="80"/>
      <c r="E253" s="81"/>
    </row>
    <row r="254">
      <c r="A254" s="79"/>
      <c r="D254" s="80"/>
      <c r="E254" s="81"/>
    </row>
    <row r="255">
      <c r="A255" s="79"/>
      <c r="D255" s="80"/>
      <c r="E255" s="81"/>
    </row>
    <row r="256">
      <c r="A256" s="79"/>
      <c r="D256" s="80"/>
      <c r="E256" s="81"/>
    </row>
    <row r="257">
      <c r="A257" s="79"/>
      <c r="D257" s="80"/>
      <c r="E257" s="81"/>
    </row>
    <row r="258">
      <c r="A258" s="79"/>
      <c r="D258" s="80"/>
      <c r="E258" s="81"/>
    </row>
    <row r="259">
      <c r="A259" s="79"/>
      <c r="D259" s="80"/>
      <c r="E259" s="81"/>
    </row>
    <row r="260">
      <c r="A260" s="79"/>
      <c r="D260" s="80"/>
      <c r="E260" s="81"/>
    </row>
    <row r="261">
      <c r="A261" s="79"/>
      <c r="D261" s="80"/>
      <c r="E261" s="81"/>
    </row>
    <row r="262">
      <c r="A262" s="79"/>
      <c r="D262" s="80"/>
      <c r="E262" s="81"/>
    </row>
    <row r="263">
      <c r="A263" s="79"/>
      <c r="D263" s="80"/>
      <c r="E263" s="81"/>
    </row>
    <row r="264">
      <c r="A264" s="79"/>
      <c r="D264" s="80"/>
      <c r="E264" s="81"/>
    </row>
    <row r="265">
      <c r="A265" s="79"/>
      <c r="D265" s="80"/>
      <c r="E265" s="81"/>
    </row>
    <row r="266">
      <c r="A266" s="79"/>
      <c r="D266" s="80"/>
      <c r="E266" s="81"/>
    </row>
    <row r="267">
      <c r="A267" s="79"/>
      <c r="D267" s="80"/>
      <c r="E267" s="81"/>
    </row>
    <row r="268">
      <c r="A268" s="79"/>
      <c r="D268" s="80"/>
      <c r="E268" s="81"/>
    </row>
    <row r="269">
      <c r="A269" s="79"/>
      <c r="D269" s="80"/>
      <c r="E269" s="81"/>
    </row>
    <row r="270">
      <c r="A270" s="79"/>
      <c r="D270" s="80"/>
      <c r="E270" s="81"/>
    </row>
    <row r="271">
      <c r="A271" s="79"/>
      <c r="D271" s="80"/>
      <c r="E271" s="81"/>
    </row>
    <row r="272">
      <c r="A272" s="79"/>
      <c r="D272" s="80"/>
      <c r="E272" s="81"/>
    </row>
    <row r="273">
      <c r="A273" s="79"/>
      <c r="D273" s="80"/>
      <c r="E273" s="81"/>
    </row>
    <row r="274">
      <c r="A274" s="79"/>
      <c r="D274" s="80"/>
      <c r="E274" s="81"/>
    </row>
    <row r="275">
      <c r="A275" s="79"/>
      <c r="D275" s="80"/>
      <c r="E275" s="81"/>
    </row>
    <row r="276">
      <c r="A276" s="79"/>
      <c r="D276" s="80"/>
      <c r="E276" s="81"/>
    </row>
    <row r="277">
      <c r="A277" s="79"/>
      <c r="D277" s="80"/>
      <c r="E277" s="81"/>
    </row>
    <row r="278">
      <c r="A278" s="79"/>
      <c r="D278" s="80"/>
      <c r="E278" s="81"/>
    </row>
    <row r="279">
      <c r="A279" s="79"/>
      <c r="D279" s="80"/>
      <c r="E279" s="81"/>
    </row>
    <row r="280">
      <c r="A280" s="79"/>
      <c r="D280" s="80"/>
      <c r="E280" s="81"/>
    </row>
    <row r="281">
      <c r="A281" s="79"/>
      <c r="D281" s="80"/>
      <c r="E281" s="81"/>
    </row>
    <row r="282">
      <c r="A282" s="79"/>
      <c r="D282" s="80"/>
      <c r="E282" s="81"/>
    </row>
    <row r="283">
      <c r="A283" s="79"/>
      <c r="D283" s="80"/>
      <c r="E283" s="81"/>
    </row>
    <row r="284">
      <c r="A284" s="79"/>
      <c r="D284" s="80"/>
      <c r="E284" s="81"/>
    </row>
    <row r="285">
      <c r="A285" s="79"/>
      <c r="D285" s="80"/>
      <c r="E285" s="81"/>
    </row>
    <row r="286">
      <c r="A286" s="79"/>
      <c r="D286" s="80"/>
      <c r="E286" s="81"/>
    </row>
    <row r="287">
      <c r="A287" s="79"/>
      <c r="D287" s="80"/>
      <c r="E287" s="81"/>
    </row>
    <row r="288">
      <c r="A288" s="79"/>
      <c r="D288" s="80"/>
      <c r="E288" s="81"/>
    </row>
    <row r="289">
      <c r="A289" s="79"/>
      <c r="D289" s="80"/>
      <c r="E289" s="81"/>
    </row>
    <row r="290">
      <c r="A290" s="79"/>
      <c r="D290" s="80"/>
      <c r="E290" s="81"/>
    </row>
    <row r="291">
      <c r="A291" s="79"/>
      <c r="D291" s="80"/>
      <c r="E291" s="81"/>
    </row>
    <row r="292">
      <c r="A292" s="79"/>
      <c r="D292" s="80"/>
      <c r="E292" s="81"/>
    </row>
    <row r="293">
      <c r="A293" s="79"/>
      <c r="D293" s="80"/>
      <c r="E293" s="81"/>
    </row>
    <row r="294">
      <c r="A294" s="79"/>
      <c r="D294" s="80"/>
      <c r="E294" s="81"/>
    </row>
    <row r="295">
      <c r="A295" s="79"/>
      <c r="D295" s="80"/>
      <c r="E295" s="81"/>
    </row>
    <row r="296">
      <c r="A296" s="79"/>
      <c r="D296" s="80"/>
      <c r="E296" s="81"/>
    </row>
    <row r="297">
      <c r="A297" s="79"/>
      <c r="D297" s="80"/>
      <c r="E297" s="81"/>
    </row>
    <row r="298">
      <c r="A298" s="79"/>
      <c r="D298" s="80"/>
      <c r="E298" s="81"/>
    </row>
    <row r="299">
      <c r="A299" s="79"/>
      <c r="D299" s="80"/>
      <c r="E299" s="81"/>
    </row>
    <row r="300">
      <c r="A300" s="79"/>
      <c r="D300" s="80"/>
      <c r="E300" s="81"/>
    </row>
    <row r="301">
      <c r="A301" s="79"/>
      <c r="D301" s="80"/>
      <c r="E301" s="81"/>
    </row>
    <row r="302">
      <c r="A302" s="79"/>
      <c r="D302" s="80"/>
      <c r="E302" s="81"/>
    </row>
    <row r="303">
      <c r="A303" s="79"/>
      <c r="D303" s="80"/>
      <c r="E303" s="81"/>
    </row>
    <row r="304">
      <c r="A304" s="79"/>
      <c r="D304" s="80"/>
      <c r="E304" s="81"/>
    </row>
    <row r="305">
      <c r="A305" s="79"/>
      <c r="D305" s="80"/>
      <c r="E305" s="81"/>
    </row>
    <row r="306">
      <c r="A306" s="79"/>
      <c r="D306" s="80"/>
      <c r="E306" s="81"/>
    </row>
    <row r="307">
      <c r="A307" s="79"/>
      <c r="D307" s="80"/>
      <c r="E307" s="81"/>
    </row>
    <row r="308">
      <c r="A308" s="79"/>
      <c r="D308" s="80"/>
      <c r="E308" s="81"/>
    </row>
    <row r="309">
      <c r="A309" s="79"/>
      <c r="D309" s="80"/>
      <c r="E309" s="81"/>
    </row>
    <row r="310">
      <c r="A310" s="79"/>
      <c r="D310" s="80"/>
      <c r="E310" s="81"/>
    </row>
    <row r="311">
      <c r="A311" s="79"/>
      <c r="D311" s="80"/>
      <c r="E311" s="81"/>
    </row>
    <row r="312">
      <c r="A312" s="79"/>
      <c r="D312" s="80"/>
      <c r="E312" s="81"/>
    </row>
    <row r="313">
      <c r="A313" s="79"/>
      <c r="D313" s="80"/>
      <c r="E313" s="81"/>
    </row>
    <row r="314">
      <c r="A314" s="79"/>
      <c r="D314" s="80"/>
      <c r="E314" s="81"/>
    </row>
    <row r="315">
      <c r="A315" s="79"/>
      <c r="D315" s="80"/>
      <c r="E315" s="81"/>
    </row>
    <row r="316">
      <c r="A316" s="79"/>
      <c r="D316" s="80"/>
      <c r="E316" s="81"/>
    </row>
    <row r="317">
      <c r="A317" s="79"/>
      <c r="D317" s="80"/>
      <c r="E317" s="81"/>
    </row>
    <row r="318">
      <c r="A318" s="79"/>
      <c r="D318" s="80"/>
      <c r="E318" s="81"/>
    </row>
    <row r="319">
      <c r="A319" s="79"/>
      <c r="D319" s="80"/>
      <c r="E319" s="81"/>
    </row>
    <row r="320">
      <c r="A320" s="79"/>
      <c r="D320" s="80"/>
      <c r="E320" s="81"/>
    </row>
    <row r="321">
      <c r="A321" s="79"/>
      <c r="D321" s="80"/>
      <c r="E321" s="81"/>
    </row>
    <row r="322">
      <c r="A322" s="79"/>
      <c r="D322" s="80"/>
      <c r="E322" s="81"/>
    </row>
    <row r="323">
      <c r="A323" s="79"/>
      <c r="D323" s="80"/>
      <c r="E323" s="81"/>
    </row>
    <row r="324">
      <c r="A324" s="79"/>
      <c r="D324" s="80"/>
      <c r="E324" s="81"/>
    </row>
    <row r="325">
      <c r="A325" s="79"/>
      <c r="D325" s="80"/>
      <c r="E325" s="81"/>
    </row>
    <row r="326">
      <c r="A326" s="79"/>
      <c r="D326" s="80"/>
      <c r="E326" s="81"/>
    </row>
    <row r="327">
      <c r="A327" s="79"/>
      <c r="D327" s="80"/>
      <c r="E327" s="81"/>
    </row>
    <row r="328">
      <c r="A328" s="79"/>
      <c r="D328" s="80"/>
      <c r="E328" s="81"/>
    </row>
    <row r="329">
      <c r="A329" s="79"/>
      <c r="D329" s="80"/>
      <c r="E329" s="81"/>
    </row>
    <row r="330">
      <c r="A330" s="79"/>
      <c r="D330" s="80"/>
      <c r="E330" s="81"/>
    </row>
    <row r="331">
      <c r="A331" s="79"/>
      <c r="D331" s="80"/>
      <c r="E331" s="81"/>
    </row>
    <row r="332">
      <c r="A332" s="79"/>
      <c r="D332" s="80"/>
      <c r="E332" s="81"/>
    </row>
    <row r="333">
      <c r="A333" s="79"/>
      <c r="D333" s="80"/>
      <c r="E333" s="81"/>
    </row>
    <row r="334">
      <c r="A334" s="79"/>
      <c r="D334" s="80"/>
      <c r="E334" s="81"/>
    </row>
    <row r="335">
      <c r="A335" s="79"/>
      <c r="D335" s="80"/>
      <c r="E335" s="81"/>
    </row>
    <row r="336">
      <c r="A336" s="79"/>
      <c r="D336" s="80"/>
      <c r="E336" s="81"/>
    </row>
    <row r="337">
      <c r="A337" s="79"/>
      <c r="D337" s="80"/>
      <c r="E337" s="81"/>
    </row>
    <row r="338">
      <c r="A338" s="79"/>
      <c r="D338" s="80"/>
      <c r="E338" s="81"/>
    </row>
    <row r="339">
      <c r="A339" s="79"/>
      <c r="D339" s="80"/>
      <c r="E339" s="81"/>
    </row>
    <row r="340">
      <c r="A340" s="79"/>
      <c r="D340" s="80"/>
      <c r="E340" s="81"/>
    </row>
    <row r="341">
      <c r="A341" s="79"/>
      <c r="D341" s="80"/>
      <c r="E341" s="81"/>
    </row>
    <row r="342">
      <c r="A342" s="79"/>
      <c r="D342" s="80"/>
      <c r="E342" s="81"/>
    </row>
    <row r="343">
      <c r="A343" s="79"/>
      <c r="D343" s="80"/>
      <c r="E343" s="81"/>
    </row>
    <row r="344">
      <c r="A344" s="79"/>
      <c r="D344" s="80"/>
      <c r="E344" s="81"/>
    </row>
    <row r="345">
      <c r="A345" s="79"/>
      <c r="D345" s="80"/>
      <c r="E345" s="81"/>
    </row>
    <row r="346">
      <c r="A346" s="79"/>
      <c r="D346" s="80"/>
      <c r="E346" s="81"/>
    </row>
    <row r="347">
      <c r="A347" s="79"/>
      <c r="D347" s="80"/>
      <c r="E347" s="81"/>
    </row>
    <row r="348">
      <c r="A348" s="79"/>
      <c r="D348" s="80"/>
      <c r="E348" s="81"/>
    </row>
    <row r="349">
      <c r="A349" s="79"/>
      <c r="D349" s="80"/>
      <c r="E349" s="81"/>
    </row>
    <row r="350">
      <c r="A350" s="79"/>
      <c r="D350" s="80"/>
      <c r="E350" s="81"/>
    </row>
    <row r="351">
      <c r="A351" s="79"/>
      <c r="D351" s="80"/>
      <c r="E351" s="81"/>
    </row>
    <row r="352">
      <c r="A352" s="79"/>
      <c r="D352" s="80"/>
      <c r="E352" s="81"/>
    </row>
    <row r="353">
      <c r="A353" s="79"/>
      <c r="D353" s="80"/>
      <c r="E353" s="81"/>
    </row>
    <row r="354">
      <c r="A354" s="79"/>
      <c r="D354" s="80"/>
      <c r="E354" s="81"/>
    </row>
    <row r="355">
      <c r="A355" s="79"/>
      <c r="D355" s="80"/>
      <c r="E355" s="81"/>
    </row>
    <row r="356">
      <c r="A356" s="79"/>
      <c r="D356" s="80"/>
      <c r="E356" s="81"/>
    </row>
    <row r="357">
      <c r="A357" s="79"/>
      <c r="D357" s="80"/>
      <c r="E357" s="81"/>
    </row>
    <row r="358">
      <c r="A358" s="79"/>
      <c r="D358" s="80"/>
      <c r="E358" s="81"/>
    </row>
    <row r="359">
      <c r="A359" s="79"/>
      <c r="D359" s="80"/>
      <c r="E359" s="81"/>
    </row>
    <row r="360">
      <c r="A360" s="79"/>
      <c r="D360" s="80"/>
      <c r="E360" s="81"/>
    </row>
    <row r="361">
      <c r="A361" s="79"/>
      <c r="D361" s="80"/>
      <c r="E361" s="81"/>
    </row>
    <row r="362">
      <c r="A362" s="79"/>
      <c r="D362" s="80"/>
      <c r="E362" s="81"/>
    </row>
    <row r="363">
      <c r="A363" s="79"/>
      <c r="D363" s="80"/>
      <c r="E363" s="81"/>
    </row>
    <row r="364">
      <c r="A364" s="79"/>
      <c r="D364" s="80"/>
      <c r="E364" s="81"/>
    </row>
    <row r="365">
      <c r="A365" s="79"/>
      <c r="D365" s="80"/>
      <c r="E365" s="81"/>
    </row>
    <row r="366">
      <c r="A366" s="79"/>
      <c r="D366" s="80"/>
      <c r="E366" s="81"/>
    </row>
    <row r="367">
      <c r="A367" s="79"/>
      <c r="D367" s="80"/>
      <c r="E367" s="81"/>
    </row>
    <row r="368">
      <c r="A368" s="79"/>
      <c r="D368" s="80"/>
      <c r="E368" s="81"/>
    </row>
    <row r="369">
      <c r="A369" s="79"/>
      <c r="D369" s="80"/>
      <c r="E369" s="81"/>
    </row>
    <row r="370">
      <c r="A370" s="79"/>
      <c r="D370" s="80"/>
      <c r="E370" s="81"/>
    </row>
    <row r="371">
      <c r="A371" s="79"/>
      <c r="D371" s="80"/>
      <c r="E371" s="81"/>
    </row>
    <row r="372">
      <c r="A372" s="79"/>
      <c r="D372" s="80"/>
      <c r="E372" s="81"/>
    </row>
    <row r="373">
      <c r="A373" s="79"/>
      <c r="D373" s="80"/>
      <c r="E373" s="81"/>
    </row>
    <row r="374">
      <c r="A374" s="79"/>
      <c r="D374" s="80"/>
      <c r="E374" s="81"/>
    </row>
    <row r="375">
      <c r="A375" s="79"/>
      <c r="D375" s="80"/>
      <c r="E375" s="81"/>
    </row>
    <row r="376">
      <c r="A376" s="79"/>
      <c r="D376" s="80"/>
      <c r="E376" s="81"/>
    </row>
    <row r="377">
      <c r="A377" s="79"/>
      <c r="D377" s="80"/>
      <c r="E377" s="81"/>
    </row>
    <row r="378">
      <c r="A378" s="79"/>
      <c r="D378" s="80"/>
      <c r="E378" s="81"/>
    </row>
    <row r="379">
      <c r="A379" s="79"/>
      <c r="D379" s="80"/>
      <c r="E379" s="81"/>
    </row>
    <row r="380">
      <c r="A380" s="79"/>
      <c r="D380" s="80"/>
      <c r="E380" s="81"/>
    </row>
    <row r="381">
      <c r="A381" s="79"/>
      <c r="D381" s="80"/>
      <c r="E381" s="81"/>
    </row>
    <row r="382">
      <c r="A382" s="79"/>
      <c r="D382" s="80"/>
      <c r="E382" s="81"/>
    </row>
    <row r="383">
      <c r="A383" s="79"/>
      <c r="D383" s="80"/>
      <c r="E383" s="81"/>
    </row>
    <row r="384">
      <c r="A384" s="79"/>
      <c r="D384" s="80"/>
      <c r="E384" s="81"/>
    </row>
    <row r="385">
      <c r="A385" s="79"/>
      <c r="D385" s="80"/>
      <c r="E385" s="81"/>
    </row>
    <row r="386">
      <c r="A386" s="79"/>
      <c r="D386" s="80"/>
      <c r="E386" s="81"/>
    </row>
    <row r="387">
      <c r="A387" s="79"/>
      <c r="D387" s="80"/>
      <c r="E387" s="81"/>
    </row>
    <row r="388">
      <c r="A388" s="79"/>
      <c r="D388" s="80"/>
      <c r="E388" s="81"/>
    </row>
    <row r="389">
      <c r="A389" s="79"/>
      <c r="D389" s="80"/>
      <c r="E389" s="81"/>
    </row>
    <row r="390">
      <c r="A390" s="79"/>
      <c r="D390" s="80"/>
      <c r="E390" s="81"/>
    </row>
    <row r="391">
      <c r="A391" s="79"/>
      <c r="D391" s="80"/>
      <c r="E391" s="81"/>
    </row>
    <row r="392">
      <c r="A392" s="79"/>
      <c r="D392" s="80"/>
      <c r="E392" s="81"/>
    </row>
    <row r="393">
      <c r="A393" s="79"/>
      <c r="D393" s="80"/>
      <c r="E393" s="81"/>
    </row>
    <row r="394">
      <c r="A394" s="79"/>
      <c r="D394" s="80"/>
      <c r="E394" s="81"/>
    </row>
    <row r="395">
      <c r="A395" s="79"/>
      <c r="D395" s="80"/>
      <c r="E395" s="81"/>
    </row>
    <row r="396">
      <c r="A396" s="79"/>
      <c r="D396" s="80"/>
      <c r="E396" s="81"/>
    </row>
    <row r="397">
      <c r="A397" s="79"/>
      <c r="D397" s="80"/>
      <c r="E397" s="81"/>
    </row>
    <row r="398">
      <c r="A398" s="79"/>
      <c r="D398" s="80"/>
      <c r="E398" s="81"/>
    </row>
    <row r="399">
      <c r="A399" s="79"/>
      <c r="D399" s="80"/>
      <c r="E399" s="81"/>
    </row>
    <row r="400">
      <c r="A400" s="79"/>
      <c r="D400" s="80"/>
      <c r="E400" s="81"/>
    </row>
    <row r="401">
      <c r="A401" s="79"/>
      <c r="D401" s="80"/>
      <c r="E401" s="81"/>
    </row>
    <row r="402">
      <c r="A402" s="79"/>
      <c r="D402" s="80"/>
      <c r="E402" s="81"/>
    </row>
    <row r="403">
      <c r="A403" s="79"/>
      <c r="D403" s="80"/>
      <c r="E403" s="81"/>
    </row>
    <row r="404">
      <c r="A404" s="79"/>
      <c r="D404" s="80"/>
      <c r="E404" s="81"/>
    </row>
    <row r="405">
      <c r="A405" s="79"/>
      <c r="D405" s="80"/>
      <c r="E405" s="81"/>
    </row>
    <row r="406">
      <c r="A406" s="79"/>
      <c r="D406" s="80"/>
      <c r="E406" s="81"/>
    </row>
    <row r="407">
      <c r="A407" s="79"/>
      <c r="D407" s="80"/>
      <c r="E407" s="81"/>
    </row>
    <row r="408">
      <c r="A408" s="79"/>
      <c r="D408" s="80"/>
      <c r="E408" s="81"/>
    </row>
    <row r="409">
      <c r="A409" s="79"/>
      <c r="D409" s="80"/>
      <c r="E409" s="81"/>
    </row>
    <row r="410">
      <c r="A410" s="79"/>
      <c r="D410" s="80"/>
      <c r="E410" s="81"/>
    </row>
    <row r="411">
      <c r="A411" s="79"/>
      <c r="D411" s="80"/>
      <c r="E411" s="81"/>
    </row>
    <row r="412">
      <c r="A412" s="79"/>
      <c r="D412" s="80"/>
      <c r="E412" s="81"/>
    </row>
    <row r="413">
      <c r="A413" s="79"/>
      <c r="D413" s="80"/>
      <c r="E413" s="81"/>
    </row>
    <row r="414">
      <c r="A414" s="79"/>
      <c r="D414" s="80"/>
      <c r="E414" s="81"/>
    </row>
    <row r="415">
      <c r="A415" s="79"/>
      <c r="D415" s="80"/>
      <c r="E415" s="81"/>
    </row>
    <row r="416">
      <c r="A416" s="79"/>
      <c r="D416" s="80"/>
      <c r="E416" s="81"/>
    </row>
    <row r="417">
      <c r="A417" s="79"/>
      <c r="D417" s="80"/>
      <c r="E417" s="81"/>
    </row>
    <row r="418">
      <c r="A418" s="79"/>
      <c r="D418" s="80"/>
      <c r="E418" s="81"/>
    </row>
    <row r="419">
      <c r="A419" s="79"/>
      <c r="D419" s="80"/>
      <c r="E419" s="81"/>
    </row>
    <row r="420">
      <c r="A420" s="79"/>
      <c r="D420" s="80"/>
      <c r="E420" s="81"/>
    </row>
    <row r="421">
      <c r="A421" s="79"/>
      <c r="D421" s="80"/>
      <c r="E421" s="81"/>
    </row>
    <row r="422">
      <c r="A422" s="79"/>
      <c r="D422" s="80"/>
      <c r="E422" s="81"/>
    </row>
    <row r="423">
      <c r="A423" s="79"/>
      <c r="D423" s="80"/>
      <c r="E423" s="81"/>
    </row>
    <row r="424">
      <c r="A424" s="79"/>
      <c r="D424" s="80"/>
      <c r="E424" s="81"/>
    </row>
    <row r="425">
      <c r="A425" s="79"/>
      <c r="D425" s="80"/>
      <c r="E425" s="81"/>
    </row>
    <row r="426">
      <c r="A426" s="79"/>
      <c r="D426" s="80"/>
      <c r="E426" s="81"/>
    </row>
    <row r="427">
      <c r="A427" s="79"/>
      <c r="D427" s="80"/>
      <c r="E427" s="81"/>
    </row>
    <row r="428">
      <c r="A428" s="79"/>
      <c r="D428" s="80"/>
      <c r="E428" s="81"/>
    </row>
    <row r="429">
      <c r="A429" s="79"/>
      <c r="D429" s="80"/>
      <c r="E429" s="81"/>
    </row>
    <row r="430">
      <c r="A430" s="79"/>
      <c r="D430" s="80"/>
      <c r="E430" s="81"/>
    </row>
    <row r="431">
      <c r="A431" s="79"/>
      <c r="D431" s="80"/>
      <c r="E431" s="81"/>
    </row>
    <row r="432">
      <c r="A432" s="79"/>
      <c r="D432" s="80"/>
      <c r="E432" s="81"/>
    </row>
    <row r="433">
      <c r="A433" s="79"/>
      <c r="D433" s="80"/>
      <c r="E433" s="81"/>
    </row>
    <row r="434">
      <c r="A434" s="79"/>
      <c r="D434" s="80"/>
      <c r="E434" s="81"/>
    </row>
    <row r="435">
      <c r="A435" s="79"/>
      <c r="D435" s="80"/>
      <c r="E435" s="81"/>
    </row>
    <row r="436">
      <c r="A436" s="79"/>
      <c r="D436" s="80"/>
      <c r="E436" s="81"/>
    </row>
    <row r="437">
      <c r="A437" s="79"/>
      <c r="D437" s="80"/>
      <c r="E437" s="81"/>
    </row>
    <row r="438">
      <c r="A438" s="79"/>
      <c r="D438" s="80"/>
      <c r="E438" s="81"/>
    </row>
    <row r="439">
      <c r="A439" s="79"/>
      <c r="D439" s="80"/>
      <c r="E439" s="81"/>
    </row>
    <row r="440">
      <c r="A440" s="79"/>
      <c r="D440" s="80"/>
      <c r="E440" s="81"/>
    </row>
    <row r="441">
      <c r="A441" s="79"/>
      <c r="D441" s="80"/>
      <c r="E441" s="81"/>
    </row>
    <row r="442">
      <c r="A442" s="79"/>
      <c r="D442" s="80"/>
      <c r="E442" s="81"/>
    </row>
    <row r="443">
      <c r="A443" s="79"/>
      <c r="D443" s="80"/>
      <c r="E443" s="81"/>
    </row>
    <row r="444">
      <c r="A444" s="79"/>
      <c r="D444" s="80"/>
      <c r="E444" s="81"/>
    </row>
    <row r="445">
      <c r="A445" s="79"/>
      <c r="D445" s="80"/>
      <c r="E445" s="81"/>
    </row>
    <row r="446">
      <c r="A446" s="79"/>
      <c r="D446" s="80"/>
      <c r="E446" s="81"/>
    </row>
    <row r="447">
      <c r="A447" s="79"/>
      <c r="D447" s="80"/>
      <c r="E447" s="81"/>
    </row>
    <row r="448">
      <c r="A448" s="79"/>
      <c r="D448" s="80"/>
      <c r="E448" s="81"/>
    </row>
    <row r="449">
      <c r="A449" s="79"/>
      <c r="D449" s="80"/>
      <c r="E449" s="81"/>
    </row>
    <row r="450">
      <c r="A450" s="79"/>
      <c r="D450" s="80"/>
      <c r="E450" s="81"/>
    </row>
    <row r="451">
      <c r="A451" s="79"/>
      <c r="D451" s="80"/>
      <c r="E451" s="81"/>
    </row>
    <row r="452">
      <c r="A452" s="79"/>
      <c r="D452" s="80"/>
      <c r="E452" s="81"/>
    </row>
    <row r="453">
      <c r="A453" s="79"/>
      <c r="D453" s="80"/>
      <c r="E453" s="81"/>
    </row>
    <row r="454">
      <c r="A454" s="79"/>
      <c r="D454" s="80"/>
      <c r="E454" s="81"/>
    </row>
    <row r="455">
      <c r="A455" s="79"/>
      <c r="D455" s="80"/>
      <c r="E455" s="81"/>
    </row>
    <row r="456">
      <c r="A456" s="79"/>
      <c r="D456" s="80"/>
      <c r="E456" s="81"/>
    </row>
    <row r="457">
      <c r="A457" s="79"/>
      <c r="D457" s="80"/>
      <c r="E457" s="81"/>
    </row>
    <row r="458">
      <c r="A458" s="79"/>
      <c r="D458" s="80"/>
      <c r="E458" s="81"/>
    </row>
    <row r="459">
      <c r="A459" s="79"/>
      <c r="D459" s="80"/>
      <c r="E459" s="81"/>
    </row>
    <row r="460">
      <c r="A460" s="79"/>
      <c r="D460" s="80"/>
      <c r="E460" s="81"/>
    </row>
    <row r="461">
      <c r="A461" s="79"/>
      <c r="D461" s="80"/>
      <c r="E461" s="81"/>
    </row>
    <row r="462">
      <c r="A462" s="79"/>
      <c r="D462" s="80"/>
      <c r="E462" s="81"/>
    </row>
    <row r="463">
      <c r="A463" s="79"/>
      <c r="D463" s="80"/>
      <c r="E463" s="81"/>
    </row>
    <row r="464">
      <c r="A464" s="79"/>
      <c r="D464" s="80"/>
      <c r="E464" s="81"/>
    </row>
    <row r="465">
      <c r="A465" s="79"/>
      <c r="D465" s="80"/>
      <c r="E465" s="81"/>
    </row>
    <row r="466">
      <c r="A466" s="79"/>
      <c r="D466" s="80"/>
      <c r="E466" s="81"/>
    </row>
    <row r="467">
      <c r="A467" s="79"/>
      <c r="D467" s="80"/>
      <c r="E467" s="81"/>
    </row>
    <row r="468">
      <c r="A468" s="79"/>
      <c r="D468" s="80"/>
      <c r="E468" s="81"/>
    </row>
    <row r="469">
      <c r="A469" s="79"/>
      <c r="D469" s="80"/>
      <c r="E469" s="81"/>
    </row>
    <row r="470">
      <c r="A470" s="79"/>
      <c r="D470" s="80"/>
      <c r="E470" s="81"/>
    </row>
    <row r="471">
      <c r="A471" s="79"/>
      <c r="D471" s="80"/>
      <c r="E471" s="81"/>
    </row>
    <row r="472">
      <c r="A472" s="79"/>
      <c r="D472" s="80"/>
      <c r="E472" s="81"/>
    </row>
    <row r="473">
      <c r="A473" s="79"/>
      <c r="D473" s="80"/>
      <c r="E473" s="81"/>
    </row>
    <row r="474">
      <c r="A474" s="79"/>
      <c r="D474" s="80"/>
      <c r="E474" s="81"/>
    </row>
    <row r="475">
      <c r="A475" s="79"/>
      <c r="D475" s="80"/>
      <c r="E475" s="81"/>
    </row>
    <row r="476">
      <c r="A476" s="79"/>
      <c r="D476" s="80"/>
      <c r="E476" s="81"/>
    </row>
    <row r="477">
      <c r="A477" s="79"/>
      <c r="D477" s="80"/>
      <c r="E477" s="81"/>
    </row>
    <row r="478">
      <c r="A478" s="79"/>
      <c r="D478" s="80"/>
      <c r="E478" s="81"/>
    </row>
    <row r="479">
      <c r="A479" s="79"/>
      <c r="D479" s="80"/>
      <c r="E479" s="81"/>
    </row>
    <row r="480">
      <c r="A480" s="79"/>
      <c r="D480" s="80"/>
      <c r="E480" s="81"/>
    </row>
    <row r="481">
      <c r="A481" s="79"/>
      <c r="D481" s="80"/>
      <c r="E481" s="81"/>
    </row>
    <row r="482">
      <c r="A482" s="79"/>
      <c r="D482" s="80"/>
      <c r="E482" s="81"/>
    </row>
    <row r="483">
      <c r="A483" s="79"/>
      <c r="D483" s="80"/>
      <c r="E483" s="81"/>
    </row>
    <row r="484">
      <c r="A484" s="79"/>
      <c r="D484" s="80"/>
      <c r="E484" s="81"/>
    </row>
    <row r="485">
      <c r="A485" s="79"/>
      <c r="D485" s="80"/>
      <c r="E485" s="81"/>
    </row>
    <row r="486">
      <c r="A486" s="79"/>
      <c r="D486" s="80"/>
      <c r="E486" s="81"/>
    </row>
    <row r="487">
      <c r="A487" s="79"/>
      <c r="D487" s="80"/>
      <c r="E487" s="81"/>
    </row>
    <row r="488">
      <c r="A488" s="79"/>
      <c r="D488" s="80"/>
      <c r="E488" s="81"/>
    </row>
    <row r="489">
      <c r="A489" s="79"/>
      <c r="D489" s="80"/>
      <c r="E489" s="81"/>
    </row>
    <row r="490">
      <c r="A490" s="79"/>
      <c r="D490" s="80"/>
      <c r="E490" s="81"/>
    </row>
    <row r="491">
      <c r="A491" s="79"/>
      <c r="D491" s="80"/>
      <c r="E491" s="81"/>
    </row>
    <row r="492">
      <c r="A492" s="79"/>
      <c r="D492" s="80"/>
      <c r="E492" s="81"/>
    </row>
    <row r="493">
      <c r="A493" s="79"/>
      <c r="D493" s="80"/>
      <c r="E493" s="81"/>
    </row>
    <row r="494">
      <c r="A494" s="79"/>
      <c r="D494" s="80"/>
      <c r="E494" s="81"/>
    </row>
    <row r="495">
      <c r="A495" s="79"/>
      <c r="D495" s="80"/>
      <c r="E495" s="81"/>
    </row>
    <row r="496">
      <c r="A496" s="79"/>
      <c r="D496" s="80"/>
      <c r="E496" s="81"/>
    </row>
    <row r="497">
      <c r="A497" s="79"/>
      <c r="D497" s="80"/>
      <c r="E497" s="81"/>
    </row>
    <row r="498">
      <c r="A498" s="79"/>
      <c r="D498" s="80"/>
      <c r="E498" s="81"/>
    </row>
    <row r="499">
      <c r="A499" s="79"/>
      <c r="D499" s="80"/>
      <c r="E499" s="81"/>
    </row>
    <row r="500">
      <c r="A500" s="79"/>
      <c r="D500" s="80"/>
      <c r="E500" s="81"/>
    </row>
    <row r="501">
      <c r="A501" s="79"/>
      <c r="D501" s="80"/>
      <c r="E501" s="81"/>
    </row>
    <row r="502">
      <c r="A502" s="79"/>
      <c r="D502" s="80"/>
      <c r="E502" s="81"/>
    </row>
    <row r="503">
      <c r="A503" s="79"/>
      <c r="D503" s="80"/>
      <c r="E503" s="81"/>
    </row>
    <row r="504">
      <c r="A504" s="79"/>
      <c r="D504" s="80"/>
      <c r="E504" s="81"/>
    </row>
    <row r="505">
      <c r="A505" s="79"/>
      <c r="D505" s="80"/>
      <c r="E505" s="81"/>
    </row>
    <row r="506">
      <c r="A506" s="79"/>
      <c r="D506" s="80"/>
      <c r="E506" s="81"/>
    </row>
    <row r="507">
      <c r="A507" s="79"/>
      <c r="D507" s="80"/>
      <c r="E507" s="81"/>
    </row>
    <row r="508">
      <c r="A508" s="79"/>
      <c r="D508" s="80"/>
      <c r="E508" s="81"/>
    </row>
    <row r="509">
      <c r="A509" s="79"/>
      <c r="D509" s="80"/>
      <c r="E509" s="81"/>
    </row>
    <row r="510">
      <c r="A510" s="79"/>
      <c r="D510" s="80"/>
      <c r="E510" s="81"/>
    </row>
    <row r="511">
      <c r="A511" s="79"/>
      <c r="D511" s="80"/>
      <c r="E511" s="81"/>
    </row>
    <row r="512">
      <c r="A512" s="79"/>
      <c r="D512" s="80"/>
      <c r="E512" s="81"/>
    </row>
    <row r="513">
      <c r="A513" s="79"/>
      <c r="D513" s="80"/>
      <c r="E513" s="81"/>
    </row>
    <row r="514">
      <c r="A514" s="79"/>
      <c r="D514" s="80"/>
      <c r="E514" s="81"/>
    </row>
    <row r="515">
      <c r="A515" s="79"/>
      <c r="D515" s="80"/>
      <c r="E515" s="81"/>
    </row>
    <row r="516">
      <c r="A516" s="79"/>
      <c r="D516" s="80"/>
      <c r="E516" s="81"/>
    </row>
    <row r="517">
      <c r="A517" s="79"/>
      <c r="D517" s="80"/>
      <c r="E517" s="81"/>
    </row>
    <row r="518">
      <c r="A518" s="79"/>
      <c r="D518" s="80"/>
      <c r="E518" s="81"/>
    </row>
    <row r="519">
      <c r="A519" s="79"/>
      <c r="D519" s="80"/>
      <c r="E519" s="81"/>
    </row>
    <row r="520">
      <c r="A520" s="79"/>
      <c r="D520" s="80"/>
      <c r="E520" s="81"/>
    </row>
    <row r="521">
      <c r="A521" s="79"/>
      <c r="D521" s="80"/>
      <c r="E521" s="81"/>
    </row>
    <row r="522">
      <c r="A522" s="79"/>
      <c r="D522" s="80"/>
      <c r="E522" s="81"/>
    </row>
    <row r="523">
      <c r="A523" s="79"/>
      <c r="D523" s="80"/>
      <c r="E523" s="81"/>
    </row>
    <row r="524">
      <c r="A524" s="79"/>
      <c r="D524" s="80"/>
      <c r="E524" s="81"/>
    </row>
    <row r="525">
      <c r="A525" s="79"/>
      <c r="D525" s="80"/>
      <c r="E525" s="81"/>
    </row>
    <row r="526">
      <c r="A526" s="79"/>
      <c r="D526" s="80"/>
      <c r="E526" s="81"/>
    </row>
    <row r="527">
      <c r="A527" s="79"/>
      <c r="D527" s="80"/>
      <c r="E527" s="81"/>
    </row>
    <row r="528">
      <c r="A528" s="79"/>
      <c r="D528" s="80"/>
      <c r="E528" s="81"/>
    </row>
    <row r="529">
      <c r="A529" s="79"/>
      <c r="D529" s="80"/>
      <c r="E529" s="81"/>
    </row>
    <row r="530">
      <c r="A530" s="79"/>
      <c r="D530" s="80"/>
      <c r="E530" s="81"/>
    </row>
    <row r="531">
      <c r="A531" s="79"/>
      <c r="D531" s="80"/>
      <c r="E531" s="81"/>
    </row>
    <row r="532">
      <c r="A532" s="79"/>
      <c r="D532" s="80"/>
      <c r="E532" s="81"/>
    </row>
    <row r="533">
      <c r="A533" s="79"/>
      <c r="D533" s="80"/>
      <c r="E533" s="81"/>
    </row>
    <row r="534">
      <c r="A534" s="79"/>
      <c r="D534" s="80"/>
      <c r="E534" s="81"/>
    </row>
    <row r="535">
      <c r="A535" s="79"/>
      <c r="D535" s="80"/>
      <c r="E535" s="81"/>
    </row>
    <row r="536">
      <c r="A536" s="79"/>
      <c r="D536" s="80"/>
      <c r="E536" s="81"/>
    </row>
    <row r="537">
      <c r="A537" s="79"/>
      <c r="D537" s="80"/>
      <c r="E537" s="81"/>
    </row>
    <row r="538">
      <c r="A538" s="79"/>
      <c r="D538" s="80"/>
      <c r="E538" s="81"/>
    </row>
    <row r="539">
      <c r="A539" s="79"/>
      <c r="D539" s="80"/>
      <c r="E539" s="81"/>
    </row>
    <row r="540">
      <c r="A540" s="79"/>
      <c r="D540" s="80"/>
      <c r="E540" s="81"/>
    </row>
    <row r="541">
      <c r="A541" s="79"/>
      <c r="D541" s="80"/>
      <c r="E541" s="81"/>
    </row>
    <row r="542">
      <c r="A542" s="79"/>
      <c r="D542" s="80"/>
      <c r="E542" s="81"/>
    </row>
    <row r="543">
      <c r="A543" s="79"/>
      <c r="D543" s="80"/>
      <c r="E543" s="81"/>
    </row>
    <row r="544">
      <c r="A544" s="79"/>
      <c r="D544" s="80"/>
      <c r="E544" s="81"/>
    </row>
    <row r="545">
      <c r="A545" s="79"/>
      <c r="D545" s="80"/>
      <c r="E545" s="81"/>
    </row>
    <row r="546">
      <c r="A546" s="79"/>
      <c r="D546" s="80"/>
      <c r="E546" s="81"/>
    </row>
    <row r="547">
      <c r="A547" s="79"/>
      <c r="D547" s="80"/>
      <c r="E547" s="81"/>
    </row>
    <row r="548">
      <c r="A548" s="79"/>
      <c r="D548" s="80"/>
      <c r="E548" s="81"/>
    </row>
    <row r="549">
      <c r="A549" s="79"/>
      <c r="D549" s="80"/>
      <c r="E549" s="81"/>
    </row>
    <row r="550">
      <c r="A550" s="79"/>
      <c r="D550" s="80"/>
      <c r="E550" s="81"/>
    </row>
    <row r="551">
      <c r="A551" s="79"/>
      <c r="D551" s="80"/>
      <c r="E551" s="81"/>
    </row>
    <row r="552">
      <c r="A552" s="79"/>
      <c r="D552" s="80"/>
      <c r="E552" s="81"/>
    </row>
    <row r="553">
      <c r="A553" s="79"/>
      <c r="D553" s="80"/>
      <c r="E553" s="81"/>
    </row>
    <row r="554">
      <c r="A554" s="79"/>
      <c r="D554" s="80"/>
      <c r="E554" s="81"/>
    </row>
    <row r="555">
      <c r="A555" s="79"/>
      <c r="D555" s="80"/>
      <c r="E555" s="81"/>
    </row>
    <row r="556">
      <c r="A556" s="79"/>
      <c r="D556" s="80"/>
      <c r="E556" s="81"/>
    </row>
    <row r="557">
      <c r="A557" s="79"/>
      <c r="D557" s="80"/>
      <c r="E557" s="81"/>
    </row>
    <row r="558">
      <c r="A558" s="79"/>
      <c r="D558" s="80"/>
      <c r="E558" s="81"/>
    </row>
    <row r="559">
      <c r="A559" s="79"/>
      <c r="D559" s="80"/>
      <c r="E559" s="81"/>
    </row>
    <row r="560">
      <c r="A560" s="79"/>
      <c r="D560" s="80"/>
      <c r="E560" s="81"/>
    </row>
    <row r="561">
      <c r="A561" s="79"/>
      <c r="D561" s="80"/>
      <c r="E561" s="81"/>
    </row>
    <row r="562">
      <c r="A562" s="79"/>
      <c r="D562" s="80"/>
      <c r="E562" s="81"/>
    </row>
    <row r="563">
      <c r="A563" s="79"/>
      <c r="D563" s="80"/>
      <c r="E563" s="81"/>
    </row>
    <row r="564">
      <c r="A564" s="79"/>
      <c r="D564" s="80"/>
      <c r="E564" s="81"/>
    </row>
    <row r="565">
      <c r="A565" s="79"/>
      <c r="D565" s="80"/>
      <c r="E565" s="81"/>
    </row>
    <row r="566">
      <c r="A566" s="79"/>
      <c r="D566" s="80"/>
      <c r="E566" s="81"/>
    </row>
    <row r="567">
      <c r="A567" s="79"/>
      <c r="D567" s="80"/>
      <c r="E567" s="81"/>
    </row>
    <row r="568">
      <c r="A568" s="79"/>
      <c r="D568" s="80"/>
      <c r="E568" s="81"/>
    </row>
    <row r="569">
      <c r="A569" s="79"/>
      <c r="D569" s="80"/>
      <c r="E569" s="81"/>
    </row>
    <row r="570">
      <c r="A570" s="79"/>
      <c r="D570" s="80"/>
      <c r="E570" s="81"/>
    </row>
    <row r="571">
      <c r="A571" s="79"/>
      <c r="D571" s="80"/>
      <c r="E571" s="81"/>
    </row>
    <row r="572">
      <c r="A572" s="79"/>
      <c r="D572" s="80"/>
      <c r="E572" s="81"/>
    </row>
    <row r="573">
      <c r="A573" s="79"/>
      <c r="D573" s="80"/>
      <c r="E573" s="81"/>
    </row>
    <row r="574">
      <c r="A574" s="79"/>
      <c r="D574" s="80"/>
      <c r="E574" s="81"/>
    </row>
    <row r="575">
      <c r="A575" s="79"/>
      <c r="D575" s="80"/>
      <c r="E575" s="81"/>
    </row>
    <row r="576">
      <c r="A576" s="79"/>
      <c r="D576" s="80"/>
      <c r="E576" s="81"/>
    </row>
    <row r="577">
      <c r="A577" s="79"/>
      <c r="D577" s="80"/>
      <c r="E577" s="81"/>
    </row>
    <row r="578">
      <c r="A578" s="79"/>
      <c r="D578" s="80"/>
      <c r="E578" s="81"/>
    </row>
    <row r="579">
      <c r="A579" s="79"/>
      <c r="D579" s="80"/>
      <c r="E579" s="81"/>
    </row>
    <row r="580">
      <c r="A580" s="79"/>
      <c r="D580" s="80"/>
      <c r="E580" s="81"/>
    </row>
    <row r="581">
      <c r="A581" s="79"/>
      <c r="D581" s="80"/>
      <c r="E581" s="81"/>
    </row>
    <row r="582">
      <c r="A582" s="79"/>
      <c r="D582" s="80"/>
      <c r="E582" s="81"/>
    </row>
    <row r="583">
      <c r="A583" s="79"/>
      <c r="D583" s="80"/>
      <c r="E583" s="81"/>
    </row>
    <row r="584">
      <c r="A584" s="79"/>
      <c r="D584" s="80"/>
      <c r="E584" s="81"/>
    </row>
    <row r="585">
      <c r="A585" s="79"/>
      <c r="D585" s="80"/>
      <c r="E585" s="81"/>
    </row>
    <row r="586">
      <c r="A586" s="79"/>
      <c r="D586" s="80"/>
      <c r="E586" s="81"/>
    </row>
    <row r="587">
      <c r="A587" s="79"/>
      <c r="D587" s="80"/>
      <c r="E587" s="81"/>
    </row>
    <row r="588">
      <c r="A588" s="79"/>
      <c r="D588" s="80"/>
      <c r="E588" s="81"/>
    </row>
    <row r="589">
      <c r="A589" s="79"/>
      <c r="D589" s="80"/>
      <c r="E589" s="81"/>
    </row>
    <row r="590">
      <c r="A590" s="79"/>
      <c r="D590" s="80"/>
      <c r="E590" s="81"/>
    </row>
    <row r="591">
      <c r="A591" s="79"/>
      <c r="D591" s="80"/>
      <c r="E591" s="81"/>
    </row>
    <row r="592">
      <c r="A592" s="79"/>
      <c r="D592" s="80"/>
      <c r="E592" s="81"/>
    </row>
    <row r="593">
      <c r="A593" s="79"/>
      <c r="D593" s="80"/>
      <c r="E593" s="81"/>
    </row>
    <row r="594">
      <c r="A594" s="79"/>
      <c r="D594" s="80"/>
      <c r="E594" s="81"/>
    </row>
    <row r="595">
      <c r="A595" s="79"/>
      <c r="D595" s="80"/>
      <c r="E595" s="81"/>
    </row>
    <row r="596">
      <c r="A596" s="79"/>
      <c r="D596" s="80"/>
      <c r="E596" s="81"/>
    </row>
    <row r="597">
      <c r="A597" s="79"/>
      <c r="D597" s="80"/>
      <c r="E597" s="81"/>
    </row>
    <row r="598">
      <c r="A598" s="79"/>
      <c r="D598" s="80"/>
      <c r="E598" s="81"/>
    </row>
    <row r="599">
      <c r="A599" s="79"/>
      <c r="D599" s="80"/>
      <c r="E599" s="81"/>
    </row>
    <row r="600">
      <c r="A600" s="79"/>
      <c r="D600" s="80"/>
      <c r="E600" s="81"/>
    </row>
    <row r="601">
      <c r="A601" s="79"/>
      <c r="D601" s="80"/>
      <c r="E601" s="81"/>
    </row>
    <row r="602">
      <c r="A602" s="79"/>
      <c r="D602" s="80"/>
      <c r="E602" s="81"/>
    </row>
    <row r="603">
      <c r="A603" s="79"/>
      <c r="D603" s="80"/>
      <c r="E603" s="81"/>
    </row>
    <row r="604">
      <c r="A604" s="79"/>
      <c r="D604" s="80"/>
      <c r="E604" s="81"/>
    </row>
    <row r="605">
      <c r="A605" s="79"/>
      <c r="D605" s="80"/>
      <c r="E605" s="81"/>
    </row>
    <row r="606">
      <c r="A606" s="79"/>
      <c r="D606" s="80"/>
      <c r="E606" s="81"/>
    </row>
    <row r="607">
      <c r="A607" s="79"/>
      <c r="D607" s="80"/>
      <c r="E607" s="81"/>
    </row>
    <row r="608">
      <c r="A608" s="79"/>
      <c r="D608" s="80"/>
      <c r="E608" s="81"/>
    </row>
    <row r="609">
      <c r="A609" s="79"/>
      <c r="D609" s="80"/>
      <c r="E609" s="81"/>
    </row>
    <row r="610">
      <c r="A610" s="79"/>
      <c r="D610" s="80"/>
      <c r="E610" s="81"/>
    </row>
    <row r="611">
      <c r="A611" s="79"/>
      <c r="D611" s="80"/>
      <c r="E611" s="81"/>
    </row>
    <row r="612">
      <c r="A612" s="79"/>
      <c r="D612" s="80"/>
      <c r="E612" s="81"/>
    </row>
    <row r="613">
      <c r="A613" s="79"/>
      <c r="D613" s="80"/>
      <c r="E613" s="81"/>
    </row>
    <row r="614">
      <c r="A614" s="79"/>
      <c r="D614" s="80"/>
      <c r="E614" s="81"/>
    </row>
    <row r="615">
      <c r="A615" s="79"/>
      <c r="D615" s="80"/>
      <c r="E615" s="81"/>
    </row>
    <row r="616">
      <c r="A616" s="79"/>
      <c r="D616" s="80"/>
      <c r="E616" s="81"/>
    </row>
    <row r="617">
      <c r="A617" s="79"/>
      <c r="D617" s="80"/>
      <c r="E617" s="81"/>
    </row>
    <row r="618">
      <c r="A618" s="79"/>
      <c r="D618" s="80"/>
      <c r="E618" s="81"/>
    </row>
    <row r="619">
      <c r="A619" s="79"/>
      <c r="D619" s="80"/>
      <c r="E619" s="81"/>
    </row>
    <row r="620">
      <c r="A620" s="79"/>
      <c r="D620" s="80"/>
      <c r="E620" s="81"/>
    </row>
    <row r="621">
      <c r="A621" s="79"/>
      <c r="D621" s="80"/>
      <c r="E621" s="81"/>
    </row>
    <row r="622">
      <c r="A622" s="79"/>
      <c r="D622" s="80"/>
      <c r="E622" s="81"/>
    </row>
    <row r="623">
      <c r="A623" s="79"/>
      <c r="D623" s="80"/>
      <c r="E623" s="81"/>
    </row>
    <row r="624">
      <c r="A624" s="79"/>
      <c r="D624" s="80"/>
      <c r="E624" s="81"/>
    </row>
    <row r="625">
      <c r="A625" s="79"/>
      <c r="D625" s="80"/>
      <c r="E625" s="81"/>
    </row>
    <row r="626">
      <c r="A626" s="79"/>
      <c r="D626" s="80"/>
      <c r="E626" s="81"/>
    </row>
    <row r="627">
      <c r="A627" s="79"/>
      <c r="D627" s="80"/>
      <c r="E627" s="81"/>
    </row>
    <row r="628">
      <c r="A628" s="79"/>
      <c r="D628" s="80"/>
      <c r="E628" s="81"/>
    </row>
    <row r="629">
      <c r="A629" s="79"/>
      <c r="D629" s="80"/>
      <c r="E629" s="81"/>
    </row>
    <row r="630">
      <c r="A630" s="79"/>
      <c r="D630" s="80"/>
      <c r="E630" s="81"/>
    </row>
    <row r="631">
      <c r="A631" s="79"/>
      <c r="D631" s="80"/>
      <c r="E631" s="81"/>
    </row>
    <row r="632">
      <c r="A632" s="79"/>
      <c r="D632" s="80"/>
      <c r="E632" s="81"/>
    </row>
    <row r="633">
      <c r="A633" s="79"/>
      <c r="D633" s="80"/>
      <c r="E633" s="81"/>
    </row>
    <row r="634">
      <c r="A634" s="79"/>
      <c r="D634" s="80"/>
      <c r="E634" s="81"/>
    </row>
    <row r="635">
      <c r="A635" s="79"/>
      <c r="D635" s="80"/>
      <c r="E635" s="81"/>
    </row>
    <row r="636">
      <c r="A636" s="79"/>
      <c r="D636" s="80"/>
      <c r="E636" s="81"/>
    </row>
    <row r="637">
      <c r="A637" s="79"/>
      <c r="D637" s="80"/>
      <c r="E637" s="81"/>
    </row>
    <row r="638">
      <c r="A638" s="79"/>
      <c r="D638" s="80"/>
      <c r="E638" s="81"/>
    </row>
    <row r="639">
      <c r="A639" s="79"/>
      <c r="D639" s="80"/>
      <c r="E639" s="81"/>
    </row>
    <row r="640">
      <c r="A640" s="79"/>
      <c r="D640" s="80"/>
      <c r="E640" s="81"/>
    </row>
    <row r="641">
      <c r="A641" s="79"/>
      <c r="D641" s="80"/>
      <c r="E641" s="81"/>
    </row>
    <row r="642">
      <c r="A642" s="79"/>
      <c r="D642" s="80"/>
      <c r="E642" s="81"/>
    </row>
    <row r="643">
      <c r="A643" s="79"/>
      <c r="D643" s="80"/>
      <c r="E643" s="81"/>
    </row>
    <row r="644">
      <c r="A644" s="79"/>
      <c r="D644" s="80"/>
      <c r="E644" s="81"/>
    </row>
    <row r="645">
      <c r="A645" s="79"/>
      <c r="D645" s="80"/>
      <c r="E645" s="81"/>
    </row>
    <row r="646">
      <c r="A646" s="79"/>
      <c r="D646" s="80"/>
      <c r="E646" s="81"/>
    </row>
    <row r="647">
      <c r="A647" s="79"/>
      <c r="D647" s="80"/>
      <c r="E647" s="81"/>
    </row>
    <row r="648">
      <c r="A648" s="79"/>
      <c r="D648" s="80"/>
      <c r="E648" s="81"/>
    </row>
    <row r="649">
      <c r="A649" s="79"/>
      <c r="D649" s="80"/>
      <c r="E649" s="81"/>
    </row>
    <row r="650">
      <c r="A650" s="79"/>
      <c r="D650" s="80"/>
      <c r="E650" s="81"/>
    </row>
    <row r="651">
      <c r="A651" s="79"/>
      <c r="D651" s="80"/>
      <c r="E651" s="81"/>
    </row>
    <row r="652">
      <c r="A652" s="79"/>
      <c r="D652" s="80"/>
      <c r="E652" s="81"/>
    </row>
    <row r="653">
      <c r="A653" s="79"/>
      <c r="D653" s="80"/>
      <c r="E653" s="81"/>
    </row>
    <row r="654">
      <c r="A654" s="79"/>
      <c r="D654" s="80"/>
      <c r="E654" s="81"/>
    </row>
    <row r="655">
      <c r="A655" s="79"/>
      <c r="D655" s="80"/>
      <c r="E655" s="81"/>
    </row>
    <row r="656">
      <c r="A656" s="79"/>
      <c r="D656" s="80"/>
      <c r="E656" s="81"/>
    </row>
    <row r="657">
      <c r="A657" s="79"/>
      <c r="D657" s="80"/>
      <c r="E657" s="81"/>
    </row>
    <row r="658">
      <c r="A658" s="79"/>
      <c r="D658" s="80"/>
      <c r="E658" s="81"/>
    </row>
    <row r="659">
      <c r="A659" s="79"/>
      <c r="D659" s="80"/>
      <c r="E659" s="81"/>
    </row>
    <row r="660">
      <c r="A660" s="79"/>
      <c r="D660" s="80"/>
      <c r="E660" s="81"/>
    </row>
    <row r="661">
      <c r="A661" s="79"/>
      <c r="D661" s="80"/>
      <c r="E661" s="81"/>
    </row>
    <row r="662">
      <c r="A662" s="79"/>
      <c r="D662" s="80"/>
      <c r="E662" s="81"/>
    </row>
    <row r="663">
      <c r="A663" s="79"/>
      <c r="D663" s="80"/>
      <c r="E663" s="81"/>
    </row>
    <row r="664">
      <c r="A664" s="79"/>
      <c r="D664" s="80"/>
      <c r="E664" s="81"/>
    </row>
    <row r="665">
      <c r="A665" s="79"/>
      <c r="D665" s="80"/>
      <c r="E665" s="81"/>
    </row>
    <row r="666">
      <c r="A666" s="79"/>
      <c r="D666" s="80"/>
      <c r="E666" s="81"/>
    </row>
    <row r="667">
      <c r="A667" s="79"/>
      <c r="D667" s="80"/>
      <c r="E667" s="81"/>
    </row>
    <row r="668">
      <c r="A668" s="79"/>
      <c r="D668" s="80"/>
      <c r="E668" s="81"/>
    </row>
    <row r="669">
      <c r="A669" s="79"/>
      <c r="D669" s="80"/>
      <c r="E669" s="81"/>
    </row>
    <row r="670">
      <c r="A670" s="79"/>
      <c r="D670" s="80"/>
      <c r="E670" s="81"/>
    </row>
    <row r="671">
      <c r="A671" s="79"/>
      <c r="D671" s="80"/>
      <c r="E671" s="81"/>
    </row>
    <row r="672">
      <c r="A672" s="79"/>
      <c r="D672" s="80"/>
      <c r="E672" s="81"/>
    </row>
    <row r="673">
      <c r="A673" s="79"/>
      <c r="D673" s="80"/>
      <c r="E673" s="81"/>
    </row>
    <row r="674">
      <c r="A674" s="79"/>
      <c r="D674" s="80"/>
      <c r="E674" s="81"/>
    </row>
    <row r="675">
      <c r="A675" s="79"/>
      <c r="D675" s="80"/>
      <c r="E675" s="81"/>
    </row>
    <row r="676">
      <c r="A676" s="79"/>
      <c r="D676" s="80"/>
      <c r="E676" s="81"/>
    </row>
    <row r="677">
      <c r="A677" s="79"/>
      <c r="D677" s="80"/>
      <c r="E677" s="81"/>
    </row>
    <row r="678">
      <c r="A678" s="79"/>
      <c r="D678" s="80"/>
      <c r="E678" s="81"/>
    </row>
    <row r="679">
      <c r="A679" s="79"/>
      <c r="D679" s="80"/>
      <c r="E679" s="81"/>
    </row>
    <row r="680">
      <c r="A680" s="79"/>
      <c r="D680" s="80"/>
      <c r="E680" s="81"/>
    </row>
    <row r="681">
      <c r="A681" s="79"/>
      <c r="D681" s="80"/>
      <c r="E681" s="81"/>
    </row>
    <row r="682">
      <c r="A682" s="79"/>
      <c r="D682" s="80"/>
      <c r="E682" s="81"/>
    </row>
    <row r="683">
      <c r="A683" s="79"/>
      <c r="D683" s="80"/>
      <c r="E683" s="81"/>
    </row>
    <row r="684">
      <c r="A684" s="79"/>
      <c r="D684" s="80"/>
      <c r="E684" s="81"/>
    </row>
    <row r="685">
      <c r="A685" s="79"/>
      <c r="D685" s="80"/>
      <c r="E685" s="81"/>
    </row>
    <row r="686">
      <c r="A686" s="79"/>
      <c r="D686" s="80"/>
      <c r="E686" s="81"/>
    </row>
    <row r="687">
      <c r="A687" s="79"/>
      <c r="D687" s="80"/>
      <c r="E687" s="81"/>
    </row>
    <row r="688">
      <c r="A688" s="79"/>
      <c r="D688" s="80"/>
      <c r="E688" s="81"/>
    </row>
    <row r="689">
      <c r="A689" s="79"/>
      <c r="D689" s="80"/>
      <c r="E689" s="81"/>
    </row>
    <row r="690">
      <c r="A690" s="79"/>
      <c r="D690" s="80"/>
      <c r="E690" s="81"/>
    </row>
    <row r="691">
      <c r="A691" s="79"/>
      <c r="D691" s="80"/>
      <c r="E691" s="81"/>
    </row>
    <row r="692">
      <c r="A692" s="79"/>
      <c r="D692" s="80"/>
      <c r="E692" s="81"/>
    </row>
    <row r="693">
      <c r="A693" s="79"/>
      <c r="D693" s="80"/>
      <c r="E693" s="81"/>
    </row>
    <row r="694">
      <c r="A694" s="79"/>
      <c r="D694" s="80"/>
      <c r="E694" s="81"/>
    </row>
    <row r="695">
      <c r="A695" s="79"/>
      <c r="D695" s="80"/>
      <c r="E695" s="81"/>
    </row>
    <row r="696">
      <c r="A696" s="79"/>
      <c r="D696" s="80"/>
      <c r="E696" s="81"/>
    </row>
    <row r="697">
      <c r="A697" s="79"/>
      <c r="D697" s="80"/>
      <c r="E697" s="81"/>
    </row>
    <row r="698">
      <c r="A698" s="79"/>
      <c r="D698" s="80"/>
      <c r="E698" s="81"/>
    </row>
    <row r="699">
      <c r="A699" s="79"/>
      <c r="D699" s="80"/>
      <c r="E699" s="81"/>
    </row>
    <row r="700">
      <c r="A700" s="79"/>
      <c r="D700" s="80"/>
      <c r="E700" s="81"/>
    </row>
    <row r="701">
      <c r="A701" s="79"/>
      <c r="D701" s="80"/>
      <c r="E701" s="81"/>
    </row>
    <row r="702">
      <c r="A702" s="79"/>
      <c r="D702" s="80"/>
      <c r="E702" s="81"/>
    </row>
    <row r="703">
      <c r="A703" s="79"/>
      <c r="D703" s="80"/>
      <c r="E703" s="81"/>
    </row>
    <row r="704">
      <c r="A704" s="79"/>
      <c r="D704" s="80"/>
      <c r="E704" s="81"/>
    </row>
    <row r="705">
      <c r="A705" s="79"/>
      <c r="D705" s="80"/>
      <c r="E705" s="81"/>
    </row>
    <row r="706">
      <c r="A706" s="79"/>
      <c r="D706" s="80"/>
      <c r="E706" s="81"/>
    </row>
    <row r="707">
      <c r="A707" s="79"/>
      <c r="D707" s="80"/>
      <c r="E707" s="81"/>
    </row>
    <row r="708">
      <c r="A708" s="79"/>
      <c r="D708" s="80"/>
      <c r="E708" s="81"/>
    </row>
    <row r="709">
      <c r="A709" s="79"/>
      <c r="D709" s="80"/>
      <c r="E709" s="81"/>
    </row>
    <row r="710">
      <c r="A710" s="79"/>
      <c r="D710" s="80"/>
      <c r="E710" s="81"/>
    </row>
    <row r="711">
      <c r="A711" s="79"/>
      <c r="D711" s="80"/>
      <c r="E711" s="81"/>
    </row>
    <row r="712">
      <c r="A712" s="79"/>
      <c r="D712" s="80"/>
      <c r="E712" s="81"/>
    </row>
    <row r="713">
      <c r="A713" s="79"/>
      <c r="D713" s="80"/>
      <c r="E713" s="81"/>
    </row>
    <row r="714">
      <c r="A714" s="79"/>
      <c r="D714" s="80"/>
      <c r="E714" s="81"/>
    </row>
    <row r="715">
      <c r="A715" s="79"/>
      <c r="D715" s="80"/>
      <c r="E715" s="81"/>
    </row>
    <row r="716">
      <c r="A716" s="79"/>
      <c r="D716" s="80"/>
      <c r="E716" s="81"/>
    </row>
    <row r="717">
      <c r="A717" s="79"/>
      <c r="D717" s="80"/>
      <c r="E717" s="81"/>
    </row>
    <row r="718">
      <c r="A718" s="79"/>
      <c r="D718" s="80"/>
      <c r="E718" s="81"/>
    </row>
    <row r="719">
      <c r="A719" s="79"/>
      <c r="D719" s="80"/>
      <c r="E719" s="81"/>
    </row>
    <row r="720">
      <c r="A720" s="79"/>
      <c r="D720" s="80"/>
      <c r="E720" s="81"/>
    </row>
    <row r="721">
      <c r="A721" s="79"/>
      <c r="D721" s="80"/>
      <c r="E721" s="81"/>
    </row>
    <row r="722">
      <c r="A722" s="79"/>
      <c r="D722" s="80"/>
      <c r="E722" s="81"/>
    </row>
    <row r="723">
      <c r="A723" s="79"/>
      <c r="D723" s="80"/>
      <c r="E723" s="81"/>
    </row>
    <row r="724">
      <c r="A724" s="79"/>
      <c r="D724" s="80"/>
      <c r="E724" s="81"/>
    </row>
    <row r="725">
      <c r="A725" s="79"/>
      <c r="D725" s="80"/>
      <c r="E725" s="81"/>
    </row>
    <row r="726">
      <c r="A726" s="79"/>
      <c r="D726" s="80"/>
      <c r="E726" s="81"/>
    </row>
    <row r="727">
      <c r="A727" s="79"/>
      <c r="D727" s="80"/>
      <c r="E727" s="81"/>
    </row>
    <row r="728">
      <c r="A728" s="79"/>
      <c r="D728" s="80"/>
      <c r="E728" s="81"/>
    </row>
    <row r="729">
      <c r="A729" s="79"/>
      <c r="D729" s="80"/>
      <c r="E729" s="81"/>
    </row>
    <row r="730">
      <c r="A730" s="79"/>
      <c r="D730" s="80"/>
      <c r="E730" s="81"/>
    </row>
    <row r="731">
      <c r="A731" s="79"/>
      <c r="D731" s="80"/>
      <c r="E731" s="81"/>
    </row>
    <row r="732">
      <c r="A732" s="79"/>
      <c r="D732" s="80"/>
      <c r="E732" s="81"/>
    </row>
    <row r="733">
      <c r="A733" s="79"/>
      <c r="D733" s="80"/>
      <c r="E733" s="81"/>
    </row>
    <row r="734">
      <c r="A734" s="79"/>
      <c r="D734" s="80"/>
      <c r="E734" s="81"/>
    </row>
    <row r="735">
      <c r="A735" s="79"/>
      <c r="D735" s="80"/>
      <c r="E735" s="81"/>
    </row>
    <row r="736">
      <c r="A736" s="79"/>
      <c r="D736" s="80"/>
      <c r="E736" s="81"/>
    </row>
    <row r="737">
      <c r="A737" s="79"/>
      <c r="D737" s="80"/>
      <c r="E737" s="81"/>
    </row>
    <row r="738">
      <c r="A738" s="79"/>
      <c r="D738" s="80"/>
      <c r="E738" s="81"/>
    </row>
    <row r="739">
      <c r="A739" s="79"/>
      <c r="D739" s="80"/>
      <c r="E739" s="81"/>
    </row>
    <row r="740">
      <c r="A740" s="79"/>
      <c r="D740" s="80"/>
      <c r="E740" s="81"/>
    </row>
    <row r="741">
      <c r="A741" s="79"/>
      <c r="D741" s="80"/>
      <c r="E741" s="81"/>
    </row>
    <row r="742">
      <c r="A742" s="79"/>
      <c r="D742" s="80"/>
      <c r="E742" s="81"/>
    </row>
    <row r="743">
      <c r="A743" s="79"/>
      <c r="D743" s="80"/>
      <c r="E743" s="81"/>
    </row>
    <row r="744">
      <c r="A744" s="79"/>
      <c r="D744" s="80"/>
      <c r="E744" s="81"/>
    </row>
    <row r="745">
      <c r="A745" s="79"/>
      <c r="D745" s="80"/>
      <c r="E745" s="81"/>
    </row>
    <row r="746">
      <c r="A746" s="79"/>
      <c r="D746" s="80"/>
      <c r="E746" s="81"/>
    </row>
    <row r="747">
      <c r="A747" s="79"/>
      <c r="D747" s="80"/>
      <c r="E747" s="81"/>
    </row>
    <row r="748">
      <c r="A748" s="79"/>
      <c r="D748" s="80"/>
      <c r="E748" s="81"/>
    </row>
    <row r="749">
      <c r="A749" s="79"/>
      <c r="D749" s="80"/>
      <c r="E749" s="81"/>
    </row>
    <row r="750">
      <c r="A750" s="79"/>
      <c r="D750" s="80"/>
      <c r="E750" s="81"/>
    </row>
    <row r="751">
      <c r="A751" s="79"/>
      <c r="D751" s="80"/>
      <c r="E751" s="81"/>
    </row>
    <row r="752">
      <c r="A752" s="79"/>
      <c r="D752" s="80"/>
      <c r="E752" s="81"/>
    </row>
    <row r="753">
      <c r="A753" s="79"/>
      <c r="D753" s="80"/>
      <c r="E753" s="81"/>
    </row>
    <row r="754">
      <c r="A754" s="79"/>
      <c r="D754" s="80"/>
      <c r="E754" s="81"/>
    </row>
    <row r="755">
      <c r="A755" s="79"/>
      <c r="D755" s="80"/>
      <c r="E755" s="81"/>
    </row>
    <row r="756">
      <c r="A756" s="79"/>
      <c r="D756" s="80"/>
      <c r="E756" s="81"/>
    </row>
    <row r="757">
      <c r="A757" s="79"/>
      <c r="D757" s="80"/>
      <c r="E757" s="81"/>
    </row>
    <row r="758">
      <c r="A758" s="79"/>
      <c r="D758" s="80"/>
      <c r="E758" s="81"/>
    </row>
    <row r="759">
      <c r="A759" s="79"/>
      <c r="D759" s="80"/>
      <c r="E759" s="81"/>
    </row>
    <row r="760">
      <c r="A760" s="79"/>
      <c r="D760" s="80"/>
      <c r="E760" s="81"/>
    </row>
    <row r="761">
      <c r="A761" s="79"/>
      <c r="D761" s="80"/>
      <c r="E761" s="81"/>
    </row>
    <row r="762">
      <c r="A762" s="79"/>
      <c r="D762" s="80"/>
      <c r="E762" s="81"/>
    </row>
    <row r="763">
      <c r="A763" s="79"/>
      <c r="D763" s="80"/>
      <c r="E763" s="81"/>
    </row>
    <row r="764">
      <c r="A764" s="79"/>
      <c r="D764" s="80"/>
      <c r="E764" s="81"/>
    </row>
    <row r="765">
      <c r="A765" s="79"/>
      <c r="D765" s="80"/>
      <c r="E765" s="81"/>
    </row>
    <row r="766">
      <c r="A766" s="79"/>
      <c r="D766" s="80"/>
      <c r="E766" s="81"/>
    </row>
    <row r="767">
      <c r="A767" s="79"/>
      <c r="D767" s="80"/>
      <c r="E767" s="81"/>
    </row>
    <row r="768">
      <c r="A768" s="79"/>
      <c r="D768" s="80"/>
      <c r="E768" s="81"/>
    </row>
    <row r="769">
      <c r="A769" s="79"/>
      <c r="D769" s="80"/>
      <c r="E769" s="81"/>
    </row>
    <row r="770">
      <c r="A770" s="79"/>
      <c r="D770" s="80"/>
      <c r="E770" s="81"/>
    </row>
    <row r="771">
      <c r="A771" s="79"/>
      <c r="D771" s="80"/>
      <c r="E771" s="81"/>
    </row>
    <row r="772">
      <c r="A772" s="79"/>
      <c r="D772" s="80"/>
      <c r="E772" s="81"/>
    </row>
    <row r="773">
      <c r="A773" s="79"/>
      <c r="D773" s="80"/>
      <c r="E773" s="81"/>
    </row>
    <row r="774">
      <c r="A774" s="79"/>
      <c r="D774" s="80"/>
      <c r="E774" s="81"/>
    </row>
    <row r="775">
      <c r="A775" s="79"/>
      <c r="D775" s="80"/>
      <c r="E775" s="81"/>
    </row>
    <row r="776">
      <c r="A776" s="79"/>
      <c r="D776" s="80"/>
      <c r="E776" s="81"/>
    </row>
    <row r="777">
      <c r="A777" s="79"/>
      <c r="D777" s="80"/>
      <c r="E777" s="81"/>
    </row>
    <row r="778">
      <c r="A778" s="79"/>
      <c r="D778" s="80"/>
      <c r="E778" s="81"/>
    </row>
    <row r="779">
      <c r="A779" s="79"/>
      <c r="D779" s="80"/>
      <c r="E779" s="81"/>
    </row>
    <row r="780">
      <c r="A780" s="79"/>
      <c r="D780" s="80"/>
      <c r="E780" s="81"/>
    </row>
    <row r="781">
      <c r="A781" s="79"/>
      <c r="D781" s="80"/>
      <c r="E781" s="81"/>
    </row>
    <row r="782">
      <c r="A782" s="79"/>
      <c r="D782" s="80"/>
      <c r="E782" s="81"/>
    </row>
    <row r="783">
      <c r="A783" s="79"/>
      <c r="D783" s="80"/>
      <c r="E783" s="81"/>
    </row>
    <row r="784">
      <c r="A784" s="79"/>
      <c r="D784" s="80"/>
      <c r="E784" s="81"/>
    </row>
    <row r="785">
      <c r="A785" s="79"/>
      <c r="D785" s="80"/>
      <c r="E785" s="81"/>
    </row>
    <row r="786">
      <c r="A786" s="79"/>
      <c r="D786" s="80"/>
      <c r="E786" s="81"/>
    </row>
    <row r="787">
      <c r="A787" s="79"/>
      <c r="D787" s="80"/>
      <c r="E787" s="81"/>
    </row>
    <row r="788">
      <c r="A788" s="79"/>
      <c r="D788" s="80"/>
      <c r="E788" s="81"/>
    </row>
    <row r="789">
      <c r="A789" s="79"/>
      <c r="D789" s="80"/>
      <c r="E789" s="81"/>
    </row>
    <row r="790">
      <c r="A790" s="79"/>
      <c r="D790" s="80"/>
      <c r="E790" s="81"/>
    </row>
    <row r="791">
      <c r="A791" s="79"/>
      <c r="D791" s="80"/>
      <c r="E791" s="81"/>
    </row>
    <row r="792">
      <c r="A792" s="79"/>
      <c r="D792" s="80"/>
      <c r="E792" s="81"/>
    </row>
    <row r="793">
      <c r="A793" s="79"/>
      <c r="D793" s="80"/>
      <c r="E793" s="81"/>
    </row>
    <row r="794">
      <c r="A794" s="79"/>
      <c r="D794" s="80"/>
      <c r="E794" s="81"/>
    </row>
    <row r="795">
      <c r="A795" s="79"/>
      <c r="D795" s="80"/>
      <c r="E795" s="81"/>
    </row>
    <row r="796">
      <c r="A796" s="79"/>
      <c r="D796" s="80"/>
      <c r="E796" s="81"/>
    </row>
    <row r="797">
      <c r="A797" s="79"/>
      <c r="D797" s="80"/>
      <c r="E797" s="81"/>
    </row>
    <row r="798">
      <c r="A798" s="79"/>
      <c r="D798" s="80"/>
      <c r="E798" s="81"/>
    </row>
    <row r="799">
      <c r="A799" s="79"/>
      <c r="D799" s="80"/>
      <c r="E799" s="81"/>
    </row>
    <row r="800">
      <c r="A800" s="79"/>
      <c r="D800" s="80"/>
      <c r="E800" s="81"/>
    </row>
    <row r="801">
      <c r="A801" s="79"/>
      <c r="D801" s="80"/>
      <c r="E801" s="81"/>
    </row>
    <row r="802">
      <c r="A802" s="79"/>
      <c r="D802" s="80"/>
      <c r="E802" s="81"/>
    </row>
    <row r="803">
      <c r="A803" s="79"/>
      <c r="D803" s="80"/>
      <c r="E803" s="81"/>
    </row>
    <row r="804">
      <c r="A804" s="79"/>
      <c r="D804" s="80"/>
      <c r="E804" s="81"/>
    </row>
    <row r="805">
      <c r="A805" s="79"/>
      <c r="D805" s="80"/>
      <c r="E805" s="81"/>
    </row>
    <row r="806">
      <c r="A806" s="79"/>
      <c r="D806" s="80"/>
      <c r="E806" s="81"/>
    </row>
    <row r="807">
      <c r="A807" s="79"/>
      <c r="D807" s="80"/>
      <c r="E807" s="81"/>
    </row>
    <row r="808">
      <c r="A808" s="79"/>
      <c r="D808" s="80"/>
      <c r="E808" s="81"/>
    </row>
    <row r="809">
      <c r="A809" s="79"/>
      <c r="D809" s="80"/>
      <c r="E809" s="81"/>
    </row>
    <row r="810">
      <c r="A810" s="79"/>
      <c r="D810" s="80"/>
      <c r="E810" s="81"/>
    </row>
    <row r="811">
      <c r="A811" s="79"/>
      <c r="D811" s="80"/>
      <c r="E811" s="81"/>
    </row>
    <row r="812">
      <c r="A812" s="79"/>
      <c r="D812" s="80"/>
      <c r="E812" s="81"/>
    </row>
    <row r="813">
      <c r="A813" s="79"/>
      <c r="D813" s="80"/>
      <c r="E813" s="81"/>
    </row>
    <row r="814">
      <c r="A814" s="79"/>
      <c r="D814" s="80"/>
      <c r="E814" s="81"/>
    </row>
    <row r="815">
      <c r="A815" s="79"/>
      <c r="D815" s="80"/>
      <c r="E815" s="81"/>
    </row>
    <row r="816">
      <c r="A816" s="79"/>
      <c r="D816" s="80"/>
      <c r="E816" s="81"/>
    </row>
    <row r="817">
      <c r="A817" s="79"/>
      <c r="D817" s="80"/>
      <c r="E817" s="81"/>
    </row>
    <row r="818">
      <c r="A818" s="79"/>
      <c r="D818" s="80"/>
      <c r="E818" s="81"/>
    </row>
    <row r="819">
      <c r="A819" s="79"/>
      <c r="D819" s="80"/>
      <c r="E819" s="81"/>
    </row>
    <row r="820">
      <c r="A820" s="79"/>
      <c r="D820" s="80"/>
      <c r="E820" s="81"/>
    </row>
    <row r="821">
      <c r="A821" s="79"/>
      <c r="D821" s="80"/>
      <c r="E821" s="81"/>
    </row>
    <row r="822">
      <c r="A822" s="79"/>
      <c r="D822" s="80"/>
      <c r="E822" s="81"/>
    </row>
    <row r="823">
      <c r="A823" s="79"/>
      <c r="D823" s="80"/>
      <c r="E823" s="81"/>
    </row>
    <row r="824">
      <c r="A824" s="79"/>
      <c r="D824" s="80"/>
      <c r="E824" s="81"/>
    </row>
    <row r="825">
      <c r="A825" s="79"/>
      <c r="D825" s="80"/>
      <c r="E825" s="81"/>
    </row>
    <row r="826">
      <c r="A826" s="79"/>
      <c r="D826" s="80"/>
      <c r="E826" s="81"/>
    </row>
    <row r="827">
      <c r="A827" s="79"/>
      <c r="D827" s="80"/>
      <c r="E827" s="81"/>
    </row>
    <row r="828">
      <c r="A828" s="79"/>
      <c r="D828" s="80"/>
      <c r="E828" s="81"/>
    </row>
    <row r="829">
      <c r="A829" s="79"/>
      <c r="D829" s="80"/>
      <c r="E829" s="81"/>
    </row>
    <row r="830">
      <c r="A830" s="79"/>
      <c r="D830" s="80"/>
      <c r="E830" s="81"/>
    </row>
    <row r="831">
      <c r="A831" s="79"/>
      <c r="D831" s="80"/>
      <c r="E831" s="81"/>
    </row>
    <row r="832">
      <c r="A832" s="79"/>
      <c r="D832" s="80"/>
      <c r="E832" s="81"/>
    </row>
    <row r="833">
      <c r="A833" s="79"/>
      <c r="D833" s="80"/>
      <c r="E833" s="81"/>
    </row>
    <row r="834">
      <c r="A834" s="79"/>
      <c r="D834" s="80"/>
      <c r="E834" s="81"/>
    </row>
    <row r="835">
      <c r="A835" s="79"/>
      <c r="D835" s="80"/>
      <c r="E835" s="81"/>
    </row>
    <row r="836">
      <c r="A836" s="79"/>
      <c r="D836" s="80"/>
      <c r="E836" s="81"/>
    </row>
    <row r="837">
      <c r="A837" s="79"/>
      <c r="D837" s="80"/>
      <c r="E837" s="81"/>
    </row>
    <row r="838">
      <c r="A838" s="79"/>
      <c r="D838" s="80"/>
      <c r="E838" s="81"/>
    </row>
    <row r="839">
      <c r="A839" s="79"/>
      <c r="D839" s="80"/>
      <c r="E839" s="81"/>
    </row>
    <row r="840">
      <c r="A840" s="79"/>
      <c r="D840" s="80"/>
      <c r="E840" s="81"/>
    </row>
    <row r="841">
      <c r="A841" s="79"/>
      <c r="D841" s="80"/>
      <c r="E841" s="81"/>
    </row>
    <row r="842">
      <c r="A842" s="79"/>
      <c r="D842" s="80"/>
      <c r="E842" s="81"/>
    </row>
    <row r="843">
      <c r="A843" s="79"/>
      <c r="D843" s="80"/>
      <c r="E843" s="81"/>
    </row>
    <row r="844">
      <c r="A844" s="79"/>
      <c r="D844" s="80"/>
      <c r="E844" s="81"/>
    </row>
    <row r="845">
      <c r="A845" s="79"/>
      <c r="D845" s="80"/>
      <c r="E845" s="81"/>
    </row>
    <row r="846">
      <c r="A846" s="79"/>
      <c r="D846" s="80"/>
      <c r="E846" s="81"/>
    </row>
    <row r="847">
      <c r="A847" s="79"/>
      <c r="D847" s="80"/>
      <c r="E847" s="81"/>
    </row>
    <row r="848">
      <c r="A848" s="79"/>
      <c r="D848" s="80"/>
      <c r="E848" s="81"/>
    </row>
    <row r="849">
      <c r="A849" s="79"/>
      <c r="D849" s="80"/>
      <c r="E849" s="81"/>
    </row>
    <row r="850">
      <c r="A850" s="79"/>
      <c r="D850" s="80"/>
      <c r="E850" s="81"/>
    </row>
    <row r="851">
      <c r="A851" s="79"/>
      <c r="D851" s="80"/>
      <c r="E851" s="81"/>
    </row>
    <row r="852">
      <c r="A852" s="79"/>
      <c r="D852" s="80"/>
      <c r="E852" s="81"/>
    </row>
    <row r="853">
      <c r="A853" s="79"/>
      <c r="D853" s="80"/>
      <c r="E853" s="81"/>
    </row>
    <row r="854">
      <c r="A854" s="79"/>
      <c r="D854" s="80"/>
      <c r="E854" s="81"/>
    </row>
    <row r="855">
      <c r="A855" s="79"/>
      <c r="D855" s="80"/>
      <c r="E855" s="81"/>
    </row>
    <row r="856">
      <c r="A856" s="79"/>
      <c r="D856" s="80"/>
      <c r="E856" s="81"/>
    </row>
    <row r="857">
      <c r="A857" s="79"/>
      <c r="D857" s="80"/>
      <c r="E857" s="81"/>
    </row>
    <row r="858">
      <c r="A858" s="79"/>
      <c r="D858" s="80"/>
      <c r="E858" s="81"/>
    </row>
    <row r="859">
      <c r="A859" s="79"/>
      <c r="D859" s="80"/>
      <c r="E859" s="81"/>
    </row>
    <row r="860">
      <c r="A860" s="79"/>
      <c r="D860" s="80"/>
      <c r="E860" s="81"/>
    </row>
    <row r="861">
      <c r="A861" s="79"/>
      <c r="D861" s="80"/>
      <c r="E861" s="81"/>
    </row>
    <row r="862">
      <c r="A862" s="79"/>
      <c r="D862" s="80"/>
      <c r="E862" s="81"/>
    </row>
    <row r="863">
      <c r="A863" s="79"/>
      <c r="D863" s="80"/>
      <c r="E863" s="81"/>
    </row>
    <row r="864">
      <c r="A864" s="79"/>
      <c r="D864" s="80"/>
      <c r="E864" s="81"/>
    </row>
    <row r="865">
      <c r="A865" s="79"/>
      <c r="D865" s="80"/>
      <c r="E865" s="81"/>
    </row>
    <row r="866">
      <c r="A866" s="79"/>
      <c r="D866" s="80"/>
      <c r="E866" s="81"/>
    </row>
    <row r="867">
      <c r="A867" s="79"/>
      <c r="D867" s="80"/>
      <c r="E867" s="81"/>
    </row>
    <row r="868">
      <c r="A868" s="79"/>
      <c r="D868" s="80"/>
      <c r="E868" s="81"/>
    </row>
    <row r="869">
      <c r="A869" s="79"/>
      <c r="D869" s="80"/>
      <c r="E869" s="81"/>
    </row>
    <row r="870">
      <c r="A870" s="79"/>
      <c r="D870" s="80"/>
      <c r="E870" s="81"/>
    </row>
    <row r="871">
      <c r="A871" s="79"/>
      <c r="D871" s="80"/>
      <c r="E871" s="81"/>
    </row>
    <row r="872">
      <c r="A872" s="79"/>
      <c r="D872" s="80"/>
      <c r="E872" s="81"/>
    </row>
    <row r="873">
      <c r="A873" s="79"/>
      <c r="D873" s="80"/>
      <c r="E873" s="81"/>
    </row>
    <row r="874">
      <c r="A874" s="79"/>
      <c r="D874" s="80"/>
      <c r="E874" s="81"/>
    </row>
    <row r="875">
      <c r="A875" s="79"/>
      <c r="D875" s="80"/>
      <c r="E875" s="81"/>
    </row>
    <row r="876">
      <c r="A876" s="79"/>
      <c r="D876" s="80"/>
      <c r="E876" s="81"/>
    </row>
    <row r="877">
      <c r="A877" s="79"/>
      <c r="D877" s="80"/>
      <c r="E877" s="81"/>
    </row>
    <row r="878">
      <c r="A878" s="79"/>
      <c r="D878" s="80"/>
      <c r="E878" s="81"/>
    </row>
    <row r="879">
      <c r="A879" s="79"/>
      <c r="D879" s="80"/>
      <c r="E879" s="81"/>
    </row>
    <row r="880">
      <c r="A880" s="79"/>
      <c r="D880" s="80"/>
      <c r="E880" s="81"/>
    </row>
    <row r="881">
      <c r="A881" s="79"/>
      <c r="D881" s="80"/>
      <c r="E881" s="81"/>
    </row>
    <row r="882">
      <c r="A882" s="79"/>
      <c r="D882" s="80"/>
      <c r="E882" s="81"/>
    </row>
    <row r="883">
      <c r="A883" s="79"/>
      <c r="D883" s="80"/>
      <c r="E883" s="81"/>
    </row>
    <row r="884">
      <c r="A884" s="79"/>
      <c r="D884" s="80"/>
      <c r="E884" s="81"/>
    </row>
    <row r="885">
      <c r="A885" s="79"/>
      <c r="D885" s="80"/>
      <c r="E885" s="81"/>
    </row>
    <row r="886">
      <c r="A886" s="79"/>
      <c r="D886" s="80"/>
      <c r="E886" s="81"/>
    </row>
    <row r="887">
      <c r="A887" s="79"/>
      <c r="D887" s="80"/>
      <c r="E887" s="81"/>
    </row>
    <row r="888">
      <c r="A888" s="79"/>
      <c r="D888" s="80"/>
      <c r="E888" s="81"/>
    </row>
    <row r="889">
      <c r="A889" s="79"/>
      <c r="D889" s="80"/>
      <c r="E889" s="81"/>
    </row>
    <row r="890">
      <c r="A890" s="79"/>
      <c r="D890" s="80"/>
      <c r="E890" s="81"/>
    </row>
    <row r="891">
      <c r="A891" s="79"/>
      <c r="D891" s="80"/>
      <c r="E891" s="81"/>
    </row>
    <row r="892">
      <c r="A892" s="79"/>
      <c r="D892" s="80"/>
      <c r="E892" s="81"/>
    </row>
    <row r="893">
      <c r="A893" s="79"/>
      <c r="D893" s="80"/>
      <c r="E893" s="81"/>
    </row>
    <row r="894">
      <c r="A894" s="79"/>
      <c r="D894" s="80"/>
      <c r="E894" s="81"/>
    </row>
    <row r="895">
      <c r="A895" s="79"/>
      <c r="D895" s="80"/>
      <c r="E895" s="81"/>
    </row>
    <row r="896">
      <c r="A896" s="79"/>
      <c r="D896" s="80"/>
      <c r="E896" s="81"/>
    </row>
    <row r="897">
      <c r="A897" s="79"/>
      <c r="D897" s="80"/>
      <c r="E897" s="81"/>
    </row>
    <row r="898">
      <c r="A898" s="79"/>
      <c r="D898" s="80"/>
      <c r="E898" s="81"/>
    </row>
    <row r="899">
      <c r="A899" s="79"/>
      <c r="D899" s="80"/>
      <c r="E899" s="81"/>
    </row>
    <row r="900">
      <c r="A900" s="79"/>
      <c r="D900" s="80"/>
      <c r="E900" s="81"/>
    </row>
    <row r="901">
      <c r="A901" s="79"/>
      <c r="D901" s="80"/>
      <c r="E901" s="81"/>
    </row>
    <row r="902">
      <c r="A902" s="79"/>
      <c r="D902" s="80"/>
      <c r="E902" s="81"/>
    </row>
    <row r="903">
      <c r="A903" s="79"/>
      <c r="D903" s="80"/>
      <c r="E903" s="81"/>
    </row>
    <row r="904">
      <c r="A904" s="79"/>
      <c r="D904" s="80"/>
      <c r="E904" s="81"/>
    </row>
    <row r="905">
      <c r="A905" s="79"/>
      <c r="D905" s="80"/>
      <c r="E905" s="81"/>
    </row>
    <row r="906">
      <c r="A906" s="79"/>
      <c r="D906" s="80"/>
      <c r="E906" s="81"/>
    </row>
    <row r="907">
      <c r="A907" s="79"/>
      <c r="D907" s="80"/>
      <c r="E907" s="81"/>
    </row>
    <row r="908">
      <c r="A908" s="79"/>
      <c r="D908" s="80"/>
      <c r="E908" s="81"/>
    </row>
    <row r="909">
      <c r="A909" s="79"/>
      <c r="D909" s="80"/>
      <c r="E909" s="81"/>
    </row>
    <row r="910">
      <c r="A910" s="79"/>
      <c r="D910" s="80"/>
      <c r="E910" s="81"/>
    </row>
    <row r="911">
      <c r="A911" s="79"/>
      <c r="D911" s="80"/>
      <c r="E911" s="81"/>
    </row>
    <row r="912">
      <c r="A912" s="79"/>
      <c r="D912" s="80"/>
      <c r="E912" s="81"/>
    </row>
    <row r="913">
      <c r="A913" s="79"/>
      <c r="D913" s="80"/>
      <c r="E913" s="81"/>
    </row>
    <row r="914">
      <c r="A914" s="79"/>
      <c r="D914" s="80"/>
      <c r="E914" s="81"/>
    </row>
    <row r="915">
      <c r="A915" s="79"/>
      <c r="D915" s="80"/>
      <c r="E915" s="81"/>
    </row>
    <row r="916">
      <c r="A916" s="79"/>
      <c r="D916" s="80"/>
      <c r="E916" s="81"/>
    </row>
    <row r="917">
      <c r="A917" s="79"/>
      <c r="D917" s="80"/>
      <c r="E917" s="81"/>
    </row>
    <row r="918">
      <c r="A918" s="79"/>
      <c r="D918" s="80"/>
      <c r="E918" s="81"/>
    </row>
    <row r="919">
      <c r="A919" s="79"/>
      <c r="D919" s="80"/>
      <c r="E919" s="81"/>
    </row>
    <row r="920">
      <c r="A920" s="79"/>
      <c r="D920" s="80"/>
      <c r="E920" s="81"/>
    </row>
    <row r="921">
      <c r="A921" s="79"/>
      <c r="D921" s="80"/>
      <c r="E921" s="81"/>
    </row>
    <row r="922">
      <c r="A922" s="79"/>
      <c r="D922" s="80"/>
      <c r="E922" s="81"/>
    </row>
    <row r="923">
      <c r="A923" s="79"/>
      <c r="D923" s="80"/>
      <c r="E923" s="81"/>
    </row>
    <row r="924">
      <c r="A924" s="79"/>
      <c r="D924" s="80"/>
      <c r="E924" s="81"/>
    </row>
    <row r="925">
      <c r="A925" s="79"/>
      <c r="D925" s="80"/>
      <c r="E925" s="81"/>
    </row>
    <row r="926">
      <c r="A926" s="79"/>
      <c r="D926" s="80"/>
      <c r="E926" s="81"/>
    </row>
    <row r="927">
      <c r="A927" s="79"/>
      <c r="D927" s="80"/>
      <c r="E927" s="81"/>
    </row>
    <row r="928">
      <c r="A928" s="79"/>
      <c r="D928" s="80"/>
      <c r="E928" s="81"/>
    </row>
    <row r="929">
      <c r="A929" s="79"/>
      <c r="D929" s="80"/>
      <c r="E929" s="81"/>
    </row>
    <row r="930">
      <c r="A930" s="79"/>
      <c r="D930" s="80"/>
      <c r="E930" s="81"/>
    </row>
    <row r="931">
      <c r="A931" s="79"/>
      <c r="D931" s="80"/>
      <c r="E931" s="81"/>
    </row>
    <row r="932">
      <c r="A932" s="79"/>
      <c r="D932" s="80"/>
      <c r="E932" s="81"/>
    </row>
    <row r="933">
      <c r="A933" s="79"/>
      <c r="D933" s="80"/>
      <c r="E933" s="81"/>
    </row>
    <row r="934">
      <c r="A934" s="79"/>
      <c r="D934" s="80"/>
      <c r="E934" s="81"/>
    </row>
    <row r="935">
      <c r="A935" s="79"/>
      <c r="D935" s="80"/>
      <c r="E935" s="81"/>
    </row>
    <row r="936">
      <c r="A936" s="79"/>
      <c r="D936" s="80"/>
      <c r="E936" s="81"/>
    </row>
    <row r="937">
      <c r="A937" s="79"/>
      <c r="D937" s="80"/>
      <c r="E937" s="81"/>
    </row>
    <row r="938">
      <c r="A938" s="79"/>
      <c r="D938" s="80"/>
      <c r="E938" s="81"/>
    </row>
    <row r="939">
      <c r="A939" s="79"/>
      <c r="D939" s="80"/>
      <c r="E939" s="81"/>
    </row>
    <row r="940">
      <c r="A940" s="79"/>
      <c r="D940" s="80"/>
      <c r="E940" s="81"/>
    </row>
    <row r="941">
      <c r="A941" s="79"/>
      <c r="D941" s="80"/>
      <c r="E941" s="81"/>
    </row>
    <row r="942">
      <c r="A942" s="79"/>
      <c r="D942" s="80"/>
      <c r="E942" s="81"/>
    </row>
    <row r="943">
      <c r="A943" s="79"/>
      <c r="D943" s="80"/>
      <c r="E943" s="81"/>
    </row>
    <row r="944">
      <c r="A944" s="79"/>
      <c r="D944" s="80"/>
      <c r="E944" s="81"/>
    </row>
    <row r="945">
      <c r="A945" s="79"/>
      <c r="D945" s="80"/>
      <c r="E945" s="81"/>
    </row>
    <row r="946">
      <c r="A946" s="79"/>
      <c r="D946" s="80"/>
      <c r="E946" s="81"/>
    </row>
    <row r="947">
      <c r="A947" s="79"/>
      <c r="D947" s="80"/>
      <c r="E947" s="81"/>
    </row>
    <row r="948">
      <c r="A948" s="79"/>
      <c r="D948" s="80"/>
      <c r="E948" s="81"/>
    </row>
    <row r="949">
      <c r="A949" s="79"/>
      <c r="D949" s="80"/>
      <c r="E949" s="81"/>
    </row>
    <row r="950">
      <c r="A950" s="79"/>
      <c r="D950" s="80"/>
      <c r="E950" s="81"/>
    </row>
    <row r="951">
      <c r="A951" s="79"/>
      <c r="D951" s="80"/>
      <c r="E951" s="81"/>
    </row>
    <row r="952">
      <c r="A952" s="79"/>
      <c r="D952" s="80"/>
      <c r="E952" s="81"/>
    </row>
    <row r="953">
      <c r="A953" s="79"/>
      <c r="D953" s="80"/>
      <c r="E953" s="81"/>
    </row>
    <row r="954">
      <c r="A954" s="79"/>
      <c r="D954" s="80"/>
      <c r="E954" s="81"/>
    </row>
    <row r="955">
      <c r="A955" s="79"/>
      <c r="D955" s="80"/>
      <c r="E955" s="81"/>
    </row>
    <row r="956">
      <c r="A956" s="79"/>
      <c r="D956" s="80"/>
      <c r="E956" s="81"/>
    </row>
    <row r="957">
      <c r="A957" s="79"/>
      <c r="D957" s="80"/>
      <c r="E957" s="81"/>
    </row>
    <row r="958">
      <c r="A958" s="79"/>
      <c r="D958" s="80"/>
      <c r="E958" s="81"/>
    </row>
    <row r="959">
      <c r="A959" s="79"/>
      <c r="D959" s="80"/>
      <c r="E959" s="81"/>
    </row>
    <row r="960">
      <c r="A960" s="79"/>
      <c r="D960" s="80"/>
      <c r="E960" s="81"/>
    </row>
    <row r="961">
      <c r="A961" s="79"/>
      <c r="D961" s="80"/>
      <c r="E961" s="81"/>
    </row>
    <row r="962">
      <c r="A962" s="79"/>
      <c r="D962" s="80"/>
      <c r="E962" s="81"/>
    </row>
    <row r="963">
      <c r="A963" s="79"/>
      <c r="D963" s="80"/>
      <c r="E963" s="81"/>
    </row>
    <row r="964">
      <c r="A964" s="79"/>
      <c r="D964" s="80"/>
      <c r="E964" s="81"/>
    </row>
    <row r="965">
      <c r="A965" s="79"/>
      <c r="D965" s="80"/>
      <c r="E965" s="81"/>
    </row>
    <row r="966">
      <c r="A966" s="79"/>
      <c r="D966" s="80"/>
      <c r="E966" s="81"/>
    </row>
    <row r="967">
      <c r="A967" s="79"/>
      <c r="D967" s="80"/>
      <c r="E967" s="81"/>
    </row>
    <row r="968">
      <c r="A968" s="79"/>
      <c r="D968" s="80"/>
      <c r="E968" s="81"/>
    </row>
    <row r="969">
      <c r="A969" s="79"/>
      <c r="D969" s="80"/>
      <c r="E969" s="81"/>
    </row>
    <row r="970">
      <c r="A970" s="79"/>
      <c r="D970" s="80"/>
      <c r="E970" s="81"/>
    </row>
    <row r="971">
      <c r="A971" s="79"/>
      <c r="D971" s="80"/>
      <c r="E971" s="81"/>
    </row>
    <row r="972">
      <c r="A972" s="79"/>
      <c r="D972" s="80"/>
      <c r="E972" s="81"/>
    </row>
    <row r="973">
      <c r="A973" s="79"/>
      <c r="D973" s="80"/>
      <c r="E973" s="81"/>
    </row>
    <row r="974">
      <c r="A974" s="79"/>
      <c r="D974" s="80"/>
      <c r="E974" s="81"/>
    </row>
    <row r="975">
      <c r="A975" s="79"/>
      <c r="D975" s="80"/>
      <c r="E975" s="81"/>
    </row>
    <row r="976">
      <c r="A976" s="79"/>
      <c r="D976" s="80"/>
      <c r="E976" s="81"/>
    </row>
    <row r="977">
      <c r="A977" s="79"/>
      <c r="D977" s="80"/>
      <c r="E977" s="81"/>
    </row>
    <row r="978">
      <c r="A978" s="79"/>
      <c r="D978" s="80"/>
      <c r="E978" s="81"/>
    </row>
    <row r="979">
      <c r="A979" s="79"/>
      <c r="D979" s="80"/>
      <c r="E979" s="81"/>
    </row>
    <row r="980">
      <c r="A980" s="79"/>
      <c r="D980" s="80"/>
      <c r="E980" s="81"/>
    </row>
    <row r="981">
      <c r="A981" s="79"/>
      <c r="D981" s="80"/>
      <c r="E981" s="81"/>
    </row>
    <row r="982">
      <c r="A982" s="79"/>
      <c r="D982" s="80"/>
      <c r="E982" s="81"/>
    </row>
    <row r="983">
      <c r="A983" s="79"/>
      <c r="D983" s="80"/>
      <c r="E983" s="81"/>
    </row>
    <row r="984">
      <c r="A984" s="79"/>
      <c r="D984" s="80"/>
      <c r="E984" s="81"/>
    </row>
    <row r="985">
      <c r="A985" s="79"/>
      <c r="D985" s="80"/>
      <c r="E985" s="81"/>
    </row>
    <row r="986">
      <c r="A986" s="79"/>
      <c r="D986" s="80"/>
      <c r="E986" s="81"/>
    </row>
    <row r="987">
      <c r="A987" s="79"/>
      <c r="D987" s="80"/>
      <c r="E987" s="81"/>
    </row>
    <row r="988">
      <c r="A988" s="79"/>
      <c r="D988" s="80"/>
      <c r="E988" s="8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1.0"/>
    <col customWidth="1" min="3" max="3" width="134.88"/>
    <col customWidth="1" min="4" max="4" width="19.88"/>
    <col customWidth="1" min="5" max="5" width="29.63"/>
  </cols>
  <sheetData>
    <row r="1">
      <c r="A1" s="24" t="s">
        <v>354</v>
      </c>
      <c r="B1" s="15" t="s">
        <v>355</v>
      </c>
      <c r="C1" s="15" t="s">
        <v>356</v>
      </c>
      <c r="D1" s="15" t="s">
        <v>357</v>
      </c>
      <c r="E1" s="15" t="s">
        <v>358</v>
      </c>
    </row>
    <row r="2">
      <c r="A2" s="24" t="s">
        <v>93</v>
      </c>
      <c r="B2" s="20" t="s">
        <v>30</v>
      </c>
      <c r="C2" s="20" t="s">
        <v>29</v>
      </c>
      <c r="D2" s="82" t="s">
        <v>359</v>
      </c>
      <c r="E2" s="21">
        <v>6000000.0</v>
      </c>
      <c r="F2" s="46">
        <f>SUMIF(Data_Log!D:D, A2, Data_Log!J:J)</f>
        <v>0</v>
      </c>
    </row>
    <row r="3">
      <c r="A3" s="24" t="s">
        <v>98</v>
      </c>
      <c r="B3" s="20" t="s">
        <v>35</v>
      </c>
      <c r="C3" s="20" t="s">
        <v>34</v>
      </c>
      <c r="D3" s="82" t="s">
        <v>359</v>
      </c>
      <c r="E3" s="21">
        <v>1600000.0</v>
      </c>
      <c r="F3" s="46">
        <f>SUMIF(Data_Log!D:D, A3, Data_Log!J:J)</f>
        <v>0</v>
      </c>
    </row>
    <row r="4">
      <c r="A4" s="24" t="s">
        <v>104</v>
      </c>
      <c r="B4" s="56" t="s">
        <v>42</v>
      </c>
      <c r="C4" s="20" t="s">
        <v>41</v>
      </c>
      <c r="D4" s="82" t="s">
        <v>359</v>
      </c>
      <c r="E4" s="21">
        <v>20000.0</v>
      </c>
      <c r="F4" s="46">
        <f>SUMIF(Data_Log!D:D, A4, Data_Log!J:J)</f>
        <v>0</v>
      </c>
    </row>
    <row r="5">
      <c r="A5" s="24" t="s">
        <v>360</v>
      </c>
      <c r="B5" s="20" t="s">
        <v>49</v>
      </c>
      <c r="C5" s="20" t="s">
        <v>47</v>
      </c>
      <c r="D5" s="82" t="s">
        <v>359</v>
      </c>
      <c r="E5" s="21"/>
      <c r="F5" s="46">
        <f>SUMIF(Data_Log!D:D, A5, Data_Log!J:J)</f>
        <v>0</v>
      </c>
    </row>
    <row r="6">
      <c r="A6" s="24" t="s">
        <v>111</v>
      </c>
      <c r="B6" s="20" t="s">
        <v>49</v>
      </c>
      <c r="C6" s="20" t="s">
        <v>57</v>
      </c>
      <c r="D6" s="82" t="s">
        <v>359</v>
      </c>
      <c r="E6" s="21">
        <v>7500.0</v>
      </c>
      <c r="F6" s="46">
        <f>SUMIF(Data_Log!D:D, A6, Data_Log!J:J)</f>
        <v>0</v>
      </c>
    </row>
    <row r="7">
      <c r="A7" s="24" t="s">
        <v>361</v>
      </c>
      <c r="B7" s="20" t="s">
        <v>49</v>
      </c>
      <c r="C7" s="20" t="s">
        <v>61</v>
      </c>
      <c r="D7" s="82" t="s">
        <v>359</v>
      </c>
      <c r="E7" s="21">
        <v>7500.0</v>
      </c>
      <c r="F7" s="46">
        <f>SUMIF(Data_Log!D:D, A7, Data_Log!J:J)</f>
        <v>0</v>
      </c>
    </row>
    <row r="8">
      <c r="A8" s="24" t="s">
        <v>44</v>
      </c>
      <c r="B8" s="20" t="s">
        <v>43</v>
      </c>
      <c r="C8" s="20" t="s">
        <v>64</v>
      </c>
      <c r="D8" s="82" t="s">
        <v>359</v>
      </c>
      <c r="E8" s="21">
        <v>12000.0</v>
      </c>
      <c r="F8" s="46">
        <f>SUMIF(Data_Log!D:D, A8, Data_Log!J:J)</f>
        <v>0</v>
      </c>
    </row>
    <row r="9">
      <c r="A9" s="24" t="s">
        <v>362</v>
      </c>
      <c r="B9" s="20" t="s">
        <v>70</v>
      </c>
      <c r="C9" s="20" t="s">
        <v>69</v>
      </c>
      <c r="D9" s="82" t="s">
        <v>359</v>
      </c>
      <c r="E9" s="21">
        <v>1000.0</v>
      </c>
      <c r="F9" s="46">
        <f>SUMIF(Data_Log!D:D, A9, Data_Log!J:J)</f>
        <v>0</v>
      </c>
    </row>
    <row r="10">
      <c r="A10" s="24" t="s">
        <v>363</v>
      </c>
      <c r="B10" s="20" t="s">
        <v>74</v>
      </c>
      <c r="C10" s="20" t="s">
        <v>73</v>
      </c>
      <c r="D10" s="82" t="s">
        <v>359</v>
      </c>
      <c r="E10" s="21">
        <v>16750.0</v>
      </c>
      <c r="F10" s="46">
        <f>SUMIF(Data_Log!D:D, A10, Data_Log!J:J)</f>
        <v>0</v>
      </c>
    </row>
    <row r="11">
      <c r="A11" s="24" t="s">
        <v>364</v>
      </c>
      <c r="B11" s="20" t="s">
        <v>82</v>
      </c>
      <c r="C11" s="20" t="s">
        <v>80</v>
      </c>
      <c r="D11" s="82" t="s">
        <v>359</v>
      </c>
      <c r="E11" s="21"/>
      <c r="F11" s="46">
        <f>SUMIF(Data_Log!D:D, A11, Data_Log!J:J)</f>
        <v>0</v>
      </c>
    </row>
    <row r="12">
      <c r="A12" s="24" t="s">
        <v>370</v>
      </c>
      <c r="B12" s="20" t="s">
        <v>82</v>
      </c>
      <c r="C12" s="20" t="s">
        <v>87</v>
      </c>
      <c r="D12" s="82" t="s">
        <v>359</v>
      </c>
      <c r="E12" s="42">
        <v>3000.0</v>
      </c>
      <c r="F12" s="46">
        <f>SUMIF(Data_Log!D:D, A12, Data_Log!J:J)</f>
        <v>0</v>
      </c>
    </row>
    <row r="13">
      <c r="A13" s="24" t="s">
        <v>380</v>
      </c>
      <c r="B13" s="20" t="s">
        <v>82</v>
      </c>
      <c r="C13" s="20" t="s">
        <v>92</v>
      </c>
      <c r="D13" s="82" t="s">
        <v>359</v>
      </c>
      <c r="E13" s="42">
        <v>3000.0</v>
      </c>
      <c r="F13" s="46">
        <f>SUMIF(Data_Log!D:D, A13, Data_Log!J:J)</f>
        <v>0</v>
      </c>
    </row>
    <row r="14">
      <c r="A14" s="24" t="s">
        <v>385</v>
      </c>
      <c r="B14" s="20" t="s">
        <v>82</v>
      </c>
      <c r="C14" s="20" t="s">
        <v>95</v>
      </c>
      <c r="D14" s="82" t="s">
        <v>359</v>
      </c>
      <c r="E14" s="42">
        <v>3000.0</v>
      </c>
      <c r="F14" s="46">
        <f>SUMIF(Data_Log!D:D, A14, Data_Log!J:J)</f>
        <v>0</v>
      </c>
    </row>
    <row r="15">
      <c r="A15" s="24" t="s">
        <v>396</v>
      </c>
      <c r="B15" s="20" t="s">
        <v>82</v>
      </c>
      <c r="C15" s="20" t="s">
        <v>97</v>
      </c>
      <c r="D15" s="82" t="s">
        <v>359</v>
      </c>
      <c r="E15" s="42">
        <v>7000.0</v>
      </c>
      <c r="F15" s="46">
        <f>SUMIF(Data_Log!D:D, A15, Data_Log!J:J)</f>
        <v>0</v>
      </c>
    </row>
    <row r="16">
      <c r="A16" s="24" t="s">
        <v>406</v>
      </c>
      <c r="B16" s="20" t="s">
        <v>82</v>
      </c>
      <c r="C16" s="20" t="s">
        <v>100</v>
      </c>
      <c r="D16" s="82" t="s">
        <v>359</v>
      </c>
      <c r="E16" s="42">
        <v>2000.0</v>
      </c>
      <c r="F16" s="46">
        <f>SUMIF(Data_Log!D:D, A16, Data_Log!J:J)</f>
        <v>0</v>
      </c>
    </row>
    <row r="17">
      <c r="A17" s="24" t="s">
        <v>415</v>
      </c>
      <c r="B17" s="20" t="s">
        <v>82</v>
      </c>
      <c r="C17" s="20" t="s">
        <v>103</v>
      </c>
      <c r="D17" s="82" t="s">
        <v>359</v>
      </c>
      <c r="E17" s="42">
        <v>1500.0</v>
      </c>
      <c r="F17" s="46">
        <f>SUMIF(Data_Log!D:D, A17, Data_Log!J:J)</f>
        <v>0</v>
      </c>
    </row>
    <row r="18">
      <c r="A18" s="24" t="s">
        <v>426</v>
      </c>
      <c r="B18" s="20" t="s">
        <v>82</v>
      </c>
      <c r="C18" s="20" t="s">
        <v>107</v>
      </c>
      <c r="D18" s="82" t="s">
        <v>359</v>
      </c>
      <c r="E18" s="42">
        <v>2160.0</v>
      </c>
      <c r="F18" s="46">
        <f>SUMIF(Data_Log!D:D, A18, Data_Log!J:J)</f>
        <v>0</v>
      </c>
    </row>
    <row r="19">
      <c r="A19" s="24" t="s">
        <v>440</v>
      </c>
      <c r="B19" s="20" t="s">
        <v>82</v>
      </c>
      <c r="C19" s="20" t="s">
        <v>109</v>
      </c>
      <c r="D19" s="82" t="s">
        <v>359</v>
      </c>
      <c r="E19" s="42">
        <v>1500.0</v>
      </c>
      <c r="F19" s="46">
        <f>SUMIF(Data_Log!D:D, A19, Data_Log!J:J)</f>
        <v>0</v>
      </c>
    </row>
    <row r="20">
      <c r="A20" s="24" t="s">
        <v>124</v>
      </c>
      <c r="B20" s="20" t="s">
        <v>82</v>
      </c>
      <c r="C20" s="20" t="s">
        <v>114</v>
      </c>
      <c r="D20" s="82" t="s">
        <v>359</v>
      </c>
      <c r="E20" s="42">
        <v>1500.0</v>
      </c>
      <c r="F20" s="46">
        <f>SUMIF(Data_Log!D:D, A20, Data_Log!J:J)</f>
        <v>0</v>
      </c>
    </row>
    <row r="21">
      <c r="A21" s="24" t="s">
        <v>470</v>
      </c>
      <c r="B21" s="20" t="s">
        <v>82</v>
      </c>
      <c r="C21" s="20" t="s">
        <v>118</v>
      </c>
      <c r="D21" s="82" t="s">
        <v>359</v>
      </c>
      <c r="E21" s="42">
        <v>1500.0</v>
      </c>
      <c r="F21" s="46">
        <f>SUMIF(Data_Log!D:D, A21, Data_Log!J:J)</f>
        <v>0</v>
      </c>
    </row>
    <row r="22">
      <c r="A22" s="24" t="s">
        <v>481</v>
      </c>
      <c r="B22" s="20" t="s">
        <v>82</v>
      </c>
      <c r="C22" s="20" t="s">
        <v>123</v>
      </c>
      <c r="D22" s="82" t="s">
        <v>359</v>
      </c>
      <c r="E22" s="42">
        <v>1000.0</v>
      </c>
      <c r="F22" s="46">
        <f>SUMIF(Data_Log!D:D, A22, Data_Log!J:J)</f>
        <v>0</v>
      </c>
    </row>
    <row r="23">
      <c r="A23" s="24" t="s">
        <v>486</v>
      </c>
      <c r="B23" s="20" t="s">
        <v>82</v>
      </c>
      <c r="C23" s="20" t="s">
        <v>128</v>
      </c>
      <c r="D23" s="82" t="s">
        <v>359</v>
      </c>
      <c r="E23" s="42">
        <v>2840.0</v>
      </c>
      <c r="F23" s="46">
        <f>SUMIF(Data_Log!D:D, A23, Data_Log!J:J)</f>
        <v>0</v>
      </c>
    </row>
    <row r="24">
      <c r="A24" s="24" t="s">
        <v>498</v>
      </c>
      <c r="B24" s="20" t="s">
        <v>82</v>
      </c>
      <c r="C24" s="56" t="s">
        <v>499</v>
      </c>
      <c r="D24" s="82" t="s">
        <v>359</v>
      </c>
      <c r="E24" s="93">
        <v>1000.0</v>
      </c>
    </row>
    <row r="25">
      <c r="A25" s="24" t="s">
        <v>135</v>
      </c>
      <c r="B25" s="20" t="s">
        <v>132</v>
      </c>
      <c r="C25" s="20" t="s">
        <v>134</v>
      </c>
      <c r="D25" s="82" t="s">
        <v>359</v>
      </c>
      <c r="E25" s="21">
        <v>6500.0</v>
      </c>
      <c r="F25" s="46">
        <f>SUMIF(Data_Log!D:D, A25, Data_Log!J:J)</f>
        <v>0</v>
      </c>
    </row>
    <row r="26">
      <c r="A26" s="24" t="s">
        <v>84</v>
      </c>
      <c r="B26" s="56" t="s">
        <v>83</v>
      </c>
      <c r="C26" s="20" t="s">
        <v>140</v>
      </c>
      <c r="D26" s="82" t="s">
        <v>359</v>
      </c>
      <c r="E26" s="21">
        <v>310000.0</v>
      </c>
      <c r="F26" s="46">
        <f>SUMIF(Data_Log!D:D, A26, Data_Log!J:J)</f>
        <v>0</v>
      </c>
    </row>
    <row r="27">
      <c r="A27" s="24" t="s">
        <v>90</v>
      </c>
      <c r="B27" s="56" t="s">
        <v>88</v>
      </c>
      <c r="C27" s="20" t="s">
        <v>147</v>
      </c>
      <c r="D27" s="82" t="s">
        <v>359</v>
      </c>
      <c r="E27" s="21">
        <v>90000.0</v>
      </c>
      <c r="F27" s="46">
        <f>SUMIF(Data_Log!D:D, A27, Data_Log!J:J)</f>
        <v>0</v>
      </c>
    </row>
    <row r="28">
      <c r="A28" s="24" t="s">
        <v>476</v>
      </c>
      <c r="B28" s="20" t="s">
        <v>152</v>
      </c>
      <c r="C28" s="20" t="s">
        <v>151</v>
      </c>
      <c r="D28" s="15" t="s">
        <v>530</v>
      </c>
      <c r="E28" s="60">
        <v>8000.0</v>
      </c>
      <c r="F28" s="46">
        <f>SUMIF(Data_Log!D:D, A28, Data_Log!J:J)</f>
        <v>0</v>
      </c>
    </row>
    <row r="29">
      <c r="A29" s="24" t="s">
        <v>538</v>
      </c>
      <c r="B29" s="20" t="s">
        <v>158</v>
      </c>
      <c r="C29" s="20" t="s">
        <v>156</v>
      </c>
      <c r="D29" s="15" t="s">
        <v>530</v>
      </c>
      <c r="E29" s="21"/>
      <c r="F29" s="46">
        <f>SUMIF(Data_Log!D:D, A29, Data_Log!J:J)</f>
        <v>0</v>
      </c>
    </row>
    <row r="30">
      <c r="A30" s="24" t="s">
        <v>548</v>
      </c>
      <c r="B30" s="20" t="s">
        <v>158</v>
      </c>
      <c r="C30" s="20" t="s">
        <v>162</v>
      </c>
      <c r="D30" s="15" t="s">
        <v>530</v>
      </c>
      <c r="E30" s="21">
        <v>10000.0</v>
      </c>
      <c r="F30" s="46">
        <f>SUMIF(Data_Log!D:D, A30, Data_Log!J:J)</f>
        <v>0</v>
      </c>
    </row>
    <row r="31">
      <c r="A31" s="24" t="s">
        <v>558</v>
      </c>
      <c r="B31" s="20" t="s">
        <v>167</v>
      </c>
      <c r="C31" s="20" t="s">
        <v>166</v>
      </c>
      <c r="D31" s="15" t="s">
        <v>530</v>
      </c>
      <c r="E31" s="21"/>
      <c r="F31" s="46">
        <f>SUMIF(Data_Log!D:D, A31, Data_Log!J:J)</f>
        <v>0</v>
      </c>
    </row>
    <row r="32">
      <c r="A32" s="24" t="s">
        <v>568</v>
      </c>
      <c r="B32" s="20" t="s">
        <v>167</v>
      </c>
      <c r="C32" s="20" t="s">
        <v>170</v>
      </c>
      <c r="D32" s="15" t="s">
        <v>530</v>
      </c>
      <c r="E32" s="21">
        <v>262.0</v>
      </c>
      <c r="F32" s="46">
        <f>SUMIF(Data_Log!D:D, A32, Data_Log!J:J)</f>
        <v>0</v>
      </c>
    </row>
    <row r="33">
      <c r="A33" s="24" t="s">
        <v>580</v>
      </c>
      <c r="B33" s="20" t="s">
        <v>167</v>
      </c>
      <c r="C33" s="20" t="s">
        <v>173</v>
      </c>
      <c r="D33" s="15" t="s">
        <v>530</v>
      </c>
      <c r="E33" s="21">
        <v>937.0</v>
      </c>
      <c r="F33" s="46">
        <f>SUMIF(Data_Log!D:D, A33, Data_Log!J:J)</f>
        <v>0</v>
      </c>
    </row>
    <row r="34">
      <c r="A34" s="24" t="s">
        <v>589</v>
      </c>
      <c r="B34" s="20" t="s">
        <v>176</v>
      </c>
      <c r="C34" s="56" t="s">
        <v>174</v>
      </c>
      <c r="D34" s="15" t="s">
        <v>530</v>
      </c>
      <c r="E34" s="21"/>
      <c r="F34" s="46">
        <f>SUMIF(Data_Log!D:D, A34, Data_Log!J:J)</f>
        <v>0</v>
      </c>
    </row>
    <row r="35">
      <c r="A35" s="24" t="s">
        <v>600</v>
      </c>
      <c r="B35" s="20" t="s">
        <v>176</v>
      </c>
      <c r="C35" s="20" t="s">
        <v>177</v>
      </c>
      <c r="D35" s="15" t="s">
        <v>530</v>
      </c>
      <c r="E35" s="21">
        <v>400.0</v>
      </c>
      <c r="F35" s="46">
        <f>SUMIF(Data_Log!D:D, A35, Data_Log!J:J)</f>
        <v>0</v>
      </c>
    </row>
    <row r="36">
      <c r="A36" s="24" t="s">
        <v>615</v>
      </c>
      <c r="B36" s="20" t="s">
        <v>176</v>
      </c>
      <c r="C36" s="20" t="s">
        <v>180</v>
      </c>
      <c r="D36" s="15" t="s">
        <v>530</v>
      </c>
      <c r="E36" s="21">
        <v>400.0</v>
      </c>
      <c r="F36" s="46">
        <f>SUMIF(Data_Log!D:D, A36, Data_Log!J:J)</f>
        <v>0</v>
      </c>
    </row>
    <row r="37">
      <c r="A37" s="24" t="s">
        <v>624</v>
      </c>
      <c r="B37" s="20" t="s">
        <v>176</v>
      </c>
      <c r="C37" s="20" t="s">
        <v>183</v>
      </c>
      <c r="D37" s="15" t="s">
        <v>530</v>
      </c>
      <c r="E37" s="21">
        <v>200.0</v>
      </c>
      <c r="F37" s="46">
        <f>SUMIF(Data_Log!D:D, A37, Data_Log!J:J)</f>
        <v>0</v>
      </c>
    </row>
    <row r="38">
      <c r="A38" s="24" t="s">
        <v>631</v>
      </c>
      <c r="B38" s="20" t="s">
        <v>25</v>
      </c>
      <c r="C38" s="56" t="s">
        <v>185</v>
      </c>
      <c r="D38" s="15" t="s">
        <v>530</v>
      </c>
      <c r="E38" s="21"/>
      <c r="F38" s="46">
        <f>SUMIF(Data_Log!D:D, A38, Data_Log!J:J)</f>
        <v>0</v>
      </c>
    </row>
    <row r="39">
      <c r="A39" s="24" t="s">
        <v>641</v>
      </c>
      <c r="B39" s="20" t="s">
        <v>25</v>
      </c>
      <c r="C39" s="20" t="s">
        <v>188</v>
      </c>
      <c r="D39" s="15" t="s">
        <v>530</v>
      </c>
      <c r="E39" s="93">
        <v>88250.0</v>
      </c>
      <c r="F39" s="46">
        <f>SUMIF(Data_Log!D:D, A39, Data_Log!J:J)</f>
        <v>0</v>
      </c>
    </row>
    <row r="40">
      <c r="A40" s="24" t="s">
        <v>647</v>
      </c>
      <c r="B40" s="20" t="s">
        <v>25</v>
      </c>
      <c r="C40" s="20" t="s">
        <v>190</v>
      </c>
      <c r="D40" s="15" t="s">
        <v>530</v>
      </c>
      <c r="E40" s="42">
        <v>110000.0</v>
      </c>
      <c r="F40" s="46">
        <f>SUMIF(Data_Log!D:D, A40, Data_Log!J:J)</f>
        <v>0</v>
      </c>
    </row>
    <row r="41">
      <c r="A41" s="24" t="s">
        <v>495</v>
      </c>
      <c r="B41" s="20" t="s">
        <v>25</v>
      </c>
      <c r="C41" s="20" t="s">
        <v>193</v>
      </c>
      <c r="D41" s="15" t="s">
        <v>530</v>
      </c>
      <c r="E41" s="42">
        <v>3000.0</v>
      </c>
      <c r="F41" s="46">
        <f>SUMIF(Data_Log!D:D, A41, Data_Log!J:J)</f>
        <v>0</v>
      </c>
    </row>
    <row r="42">
      <c r="A42" s="24" t="s">
        <v>648</v>
      </c>
      <c r="B42" s="20" t="s">
        <v>25</v>
      </c>
      <c r="C42" s="20" t="s">
        <v>196</v>
      </c>
      <c r="D42" s="15" t="s">
        <v>530</v>
      </c>
      <c r="E42" s="42">
        <v>4875.0</v>
      </c>
      <c r="F42" s="46">
        <f>SUMIF(Data_Log!D:D, A42, Data_Log!J:J)</f>
        <v>0</v>
      </c>
    </row>
    <row r="43">
      <c r="A43" s="24" t="s">
        <v>649</v>
      </c>
      <c r="B43" s="20" t="s">
        <v>25</v>
      </c>
      <c r="C43" s="20" t="s">
        <v>200</v>
      </c>
      <c r="D43" s="15" t="s">
        <v>530</v>
      </c>
      <c r="E43" s="42">
        <v>4500.0</v>
      </c>
      <c r="F43" s="46">
        <f>SUMIF(Data_Log!D:D, A43, Data_Log!J:J)</f>
        <v>0</v>
      </c>
    </row>
    <row r="44">
      <c r="A44" s="24" t="s">
        <v>650</v>
      </c>
      <c r="B44" s="20" t="s">
        <v>25</v>
      </c>
      <c r="C44" s="20" t="s">
        <v>202</v>
      </c>
      <c r="D44" s="15" t="s">
        <v>530</v>
      </c>
      <c r="E44" s="42">
        <v>2000.0</v>
      </c>
      <c r="F44" s="46">
        <f>SUMIF(Data_Log!D:D, A44, Data_Log!J:J)</f>
        <v>0</v>
      </c>
    </row>
    <row r="45">
      <c r="A45" s="24" t="s">
        <v>651</v>
      </c>
      <c r="B45" s="20" t="s">
        <v>25</v>
      </c>
      <c r="C45" s="20" t="s">
        <v>205</v>
      </c>
      <c r="D45" s="15" t="s">
        <v>530</v>
      </c>
      <c r="E45" s="42">
        <v>12375.0</v>
      </c>
      <c r="F45" s="46">
        <f>SUMIF(Data_Log!D:D, A45, Data_Log!J:J)</f>
        <v>0</v>
      </c>
    </row>
    <row r="46">
      <c r="A46" s="24" t="s">
        <v>652</v>
      </c>
      <c r="B46" s="20" t="s">
        <v>25</v>
      </c>
      <c r="C46" s="20" t="s">
        <v>209</v>
      </c>
      <c r="D46" s="15" t="s">
        <v>530</v>
      </c>
      <c r="E46" s="42"/>
      <c r="F46" s="46">
        <f>SUMIF(Data_Log!D:D, A46, Data_Log!J:J)</f>
        <v>0</v>
      </c>
    </row>
    <row r="47">
      <c r="A47" s="24" t="s">
        <v>137</v>
      </c>
      <c r="B47" s="20" t="s">
        <v>25</v>
      </c>
      <c r="C47" s="66" t="s">
        <v>211</v>
      </c>
      <c r="D47" s="15" t="s">
        <v>530</v>
      </c>
      <c r="E47" s="97">
        <v>1800.0</v>
      </c>
      <c r="F47" s="46">
        <f>SUMIF(Data_Log!D:D, A47, Data_Log!J:J)</f>
        <v>235295</v>
      </c>
    </row>
    <row r="48">
      <c r="A48" s="24" t="s">
        <v>59</v>
      </c>
      <c r="B48" s="20" t="s">
        <v>25</v>
      </c>
      <c r="C48" s="66" t="s">
        <v>215</v>
      </c>
      <c r="D48" s="15" t="s">
        <v>530</v>
      </c>
      <c r="E48" s="97">
        <v>2300.0</v>
      </c>
      <c r="F48" s="46">
        <f>SUMIF(Data_Log!D:D, A48, Data_Log!J:J)</f>
        <v>1447412</v>
      </c>
    </row>
    <row r="49">
      <c r="A49" s="24" t="s">
        <v>218</v>
      </c>
      <c r="B49" s="20" t="s">
        <v>25</v>
      </c>
      <c r="C49" s="66" t="s">
        <v>219</v>
      </c>
      <c r="D49" s="15" t="s">
        <v>530</v>
      </c>
      <c r="E49" s="97">
        <v>1800.0</v>
      </c>
      <c r="F49" s="46">
        <f>SUMIF(Data_Log!D:D, A49, Data_Log!J:J)</f>
        <v>346950</v>
      </c>
    </row>
    <row r="50">
      <c r="A50" s="24" t="s">
        <v>26</v>
      </c>
      <c r="B50" s="20" t="s">
        <v>25</v>
      </c>
      <c r="C50" s="66" t="s">
        <v>221</v>
      </c>
      <c r="D50" s="15" t="s">
        <v>530</v>
      </c>
      <c r="E50" s="97">
        <v>1800.0</v>
      </c>
      <c r="F50" s="46">
        <f>SUMIF(Data_Log!D:D, A50, Data_Log!J:J)</f>
        <v>218850</v>
      </c>
    </row>
    <row r="51">
      <c r="A51" s="24" t="s">
        <v>224</v>
      </c>
      <c r="B51" s="20" t="s">
        <v>25</v>
      </c>
      <c r="C51" s="66" t="s">
        <v>227</v>
      </c>
      <c r="D51" s="15" t="s">
        <v>530</v>
      </c>
      <c r="E51" s="97">
        <v>1800.0</v>
      </c>
      <c r="F51" s="46">
        <f>SUMIF(Data_Log!D:D, A51, Data_Log!J:J)</f>
        <v>0</v>
      </c>
    </row>
    <row r="52">
      <c r="A52" s="24" t="s">
        <v>159</v>
      </c>
      <c r="B52" s="20" t="s">
        <v>25</v>
      </c>
      <c r="C52" s="66" t="s">
        <v>229</v>
      </c>
      <c r="D52" s="15" t="s">
        <v>530</v>
      </c>
      <c r="E52" s="97">
        <v>1800.0</v>
      </c>
      <c r="F52" s="46">
        <f>SUMIF(Data_Log!D:D, A52, Data_Log!J:J)</f>
        <v>788164</v>
      </c>
    </row>
    <row r="53">
      <c r="A53" s="24" t="s">
        <v>232</v>
      </c>
      <c r="B53" s="20" t="s">
        <v>25</v>
      </c>
      <c r="C53" s="66" t="s">
        <v>233</v>
      </c>
      <c r="D53" s="15" t="s">
        <v>530</v>
      </c>
      <c r="E53" s="97">
        <v>1000.0</v>
      </c>
      <c r="F53" s="46">
        <f>SUMIF(Data_Log!D:D, A53, Data_Log!J:J)</f>
        <v>0</v>
      </c>
    </row>
    <row r="54">
      <c r="A54" s="24" t="s">
        <v>235</v>
      </c>
      <c r="B54" s="20" t="s">
        <v>25</v>
      </c>
      <c r="C54" s="66" t="s">
        <v>236</v>
      </c>
      <c r="D54" s="15" t="s">
        <v>530</v>
      </c>
      <c r="E54" s="97">
        <v>700.0</v>
      </c>
      <c r="F54" s="46">
        <f>SUMIF(Data_Log!D:D, A54, Data_Log!J:J)</f>
        <v>0</v>
      </c>
    </row>
    <row r="55">
      <c r="A55" s="24" t="s">
        <v>240</v>
      </c>
      <c r="B55" s="20" t="s">
        <v>25</v>
      </c>
      <c r="C55" s="66" t="s">
        <v>241</v>
      </c>
      <c r="D55" s="15" t="s">
        <v>530</v>
      </c>
      <c r="E55" s="97">
        <v>1000.0</v>
      </c>
      <c r="F55" s="46">
        <f>SUMIF(Data_Log!D:D, A55, Data_Log!J:J)</f>
        <v>0</v>
      </c>
    </row>
    <row r="56">
      <c r="A56" s="24" t="s">
        <v>244</v>
      </c>
      <c r="B56" s="20" t="s">
        <v>25</v>
      </c>
      <c r="C56" s="66" t="s">
        <v>245</v>
      </c>
      <c r="D56" s="15" t="s">
        <v>530</v>
      </c>
      <c r="E56" s="97">
        <v>500.0</v>
      </c>
      <c r="F56" s="46">
        <f>SUMIF(Data_Log!D:D, A56, Data_Log!J:J)</f>
        <v>0</v>
      </c>
    </row>
    <row r="57">
      <c r="A57" s="24" t="s">
        <v>249</v>
      </c>
      <c r="B57" s="20" t="s">
        <v>25</v>
      </c>
      <c r="C57" s="66" t="s">
        <v>252</v>
      </c>
      <c r="D57" s="15" t="s">
        <v>530</v>
      </c>
      <c r="E57" s="97">
        <v>500.0</v>
      </c>
      <c r="F57" s="46">
        <f>SUMIF(Data_Log!D:D, A57, Data_Log!J:J)</f>
        <v>0</v>
      </c>
    </row>
    <row r="58">
      <c r="A58" s="24" t="s">
        <v>254</v>
      </c>
      <c r="B58" s="20" t="s">
        <v>25</v>
      </c>
      <c r="C58" s="66" t="s">
        <v>255</v>
      </c>
      <c r="D58" s="15" t="s">
        <v>530</v>
      </c>
      <c r="E58" s="97">
        <v>500.0</v>
      </c>
      <c r="F58" s="46">
        <f>SUMIF(Data_Log!D:D, A58, Data_Log!J:J)</f>
        <v>0</v>
      </c>
    </row>
    <row r="59">
      <c r="A59" s="24" t="s">
        <v>259</v>
      </c>
      <c r="B59" s="20" t="s">
        <v>25</v>
      </c>
      <c r="C59" s="66" t="s">
        <v>261</v>
      </c>
      <c r="D59" s="15" t="s">
        <v>530</v>
      </c>
      <c r="E59" s="97">
        <v>500.0</v>
      </c>
      <c r="F59" s="46">
        <f>SUMIF(Data_Log!D:D, A59, Data_Log!J:J)</f>
        <v>0</v>
      </c>
    </row>
    <row r="60">
      <c r="A60" s="24" t="s">
        <v>264</v>
      </c>
      <c r="B60" s="20" t="s">
        <v>25</v>
      </c>
      <c r="C60" s="66" t="s">
        <v>265</v>
      </c>
      <c r="D60" s="15" t="s">
        <v>530</v>
      </c>
      <c r="E60" s="97">
        <v>1000.0</v>
      </c>
      <c r="F60" s="46">
        <f>SUMIF(Data_Log!D:D, A60, Data_Log!J:J)</f>
        <v>0</v>
      </c>
    </row>
    <row r="61">
      <c r="A61" s="24" t="s">
        <v>269</v>
      </c>
      <c r="B61" s="20" t="s">
        <v>25</v>
      </c>
      <c r="C61" s="66" t="s">
        <v>270</v>
      </c>
      <c r="D61" s="15" t="s">
        <v>530</v>
      </c>
      <c r="E61" s="97">
        <v>500.0</v>
      </c>
      <c r="F61" s="46">
        <f>SUMIF(Data_Log!D:D, A61, Data_Log!J:J)</f>
        <v>0</v>
      </c>
    </row>
    <row r="62">
      <c r="A62" s="24" t="s">
        <v>272</v>
      </c>
      <c r="B62" s="20" t="s">
        <v>25</v>
      </c>
      <c r="C62" s="66" t="s">
        <v>273</v>
      </c>
      <c r="D62" s="15" t="s">
        <v>530</v>
      </c>
      <c r="E62" s="97">
        <v>1500.0</v>
      </c>
      <c r="F62" s="46">
        <f>SUMIF(Data_Log!D:D, A62, Data_Log!J:J)</f>
        <v>0</v>
      </c>
    </row>
    <row r="63">
      <c r="A63" s="24" t="s">
        <v>274</v>
      </c>
      <c r="B63" s="20" t="s">
        <v>25</v>
      </c>
      <c r="C63" s="66" t="s">
        <v>275</v>
      </c>
      <c r="D63" s="15" t="s">
        <v>530</v>
      </c>
      <c r="E63" s="97">
        <v>2000.0</v>
      </c>
      <c r="F63" s="46">
        <f>SUMIF(Data_Log!D:D, A63, Data_Log!J:J)</f>
        <v>0</v>
      </c>
    </row>
    <row r="64">
      <c r="A64" s="24" t="s">
        <v>54</v>
      </c>
      <c r="B64" s="20" t="s">
        <v>25</v>
      </c>
      <c r="C64" s="66" t="s">
        <v>277</v>
      </c>
      <c r="D64" s="15" t="s">
        <v>530</v>
      </c>
      <c r="E64" s="97">
        <v>1000.0</v>
      </c>
      <c r="F64" s="46">
        <f>SUMIF(Data_Log!D:D, A64, Data_Log!J:J)</f>
        <v>302409</v>
      </c>
    </row>
    <row r="65">
      <c r="A65" s="24" t="s">
        <v>279</v>
      </c>
      <c r="B65" s="20" t="s">
        <v>25</v>
      </c>
      <c r="C65" s="66" t="s">
        <v>280</v>
      </c>
      <c r="D65" s="15" t="s">
        <v>530</v>
      </c>
      <c r="E65" s="97">
        <v>1000.0</v>
      </c>
      <c r="F65" s="46">
        <f>SUMIF(Data_Log!D:D, A65, Data_Log!J:J)</f>
        <v>0</v>
      </c>
    </row>
    <row r="66">
      <c r="A66" s="24" t="s">
        <v>283</v>
      </c>
      <c r="B66" s="20" t="s">
        <v>25</v>
      </c>
      <c r="C66" s="66" t="s">
        <v>284</v>
      </c>
      <c r="D66" s="15" t="s">
        <v>530</v>
      </c>
      <c r="E66" s="97">
        <v>1000.0</v>
      </c>
      <c r="F66" s="46">
        <f>SUMIF(Data_Log!D:D, A66, Data_Log!J:J)</f>
        <v>0</v>
      </c>
    </row>
    <row r="67">
      <c r="A67" s="24" t="s">
        <v>285</v>
      </c>
      <c r="B67" s="20" t="s">
        <v>25</v>
      </c>
      <c r="C67" s="7" t="s">
        <v>653</v>
      </c>
      <c r="D67" s="15" t="s">
        <v>530</v>
      </c>
      <c r="E67" s="97">
        <v>1000.0</v>
      </c>
      <c r="F67" s="46">
        <f>SUMIF(Data_Log!D:D, A67, Data_Log!J:J)</f>
        <v>0</v>
      </c>
    </row>
    <row r="68">
      <c r="A68" s="24" t="s">
        <v>290</v>
      </c>
      <c r="B68" s="20" t="s">
        <v>25</v>
      </c>
      <c r="C68" s="66" t="s">
        <v>291</v>
      </c>
      <c r="D68" s="15" t="s">
        <v>530</v>
      </c>
      <c r="E68" s="97">
        <v>3000.0</v>
      </c>
      <c r="F68" s="46">
        <f>SUMIF(Data_Log!D:D, A68, Data_Log!J:J)</f>
        <v>460649.64</v>
      </c>
    </row>
    <row r="69">
      <c r="A69" s="24" t="s">
        <v>293</v>
      </c>
      <c r="B69" s="20" t="s">
        <v>25</v>
      </c>
      <c r="C69" s="66" t="s">
        <v>295</v>
      </c>
      <c r="D69" s="15" t="s">
        <v>530</v>
      </c>
      <c r="E69" s="97">
        <v>3000.0</v>
      </c>
      <c r="F69" s="46">
        <f>SUMIF(Data_Log!D:D, A69, Data_Log!J:J)</f>
        <v>0</v>
      </c>
    </row>
    <row r="70">
      <c r="A70" s="24" t="s">
        <v>296</v>
      </c>
      <c r="B70" s="20" t="s">
        <v>25</v>
      </c>
      <c r="C70" s="66" t="s">
        <v>297</v>
      </c>
      <c r="D70" s="15" t="s">
        <v>530</v>
      </c>
      <c r="E70" s="97">
        <v>3000.0</v>
      </c>
      <c r="F70" s="46">
        <f>SUMIF(Data_Log!D:D, A70, Data_Log!J:J)</f>
        <v>0</v>
      </c>
    </row>
    <row r="71">
      <c r="A71" s="24" t="s">
        <v>46</v>
      </c>
      <c r="B71" s="20" t="s">
        <v>25</v>
      </c>
      <c r="C71" s="66" t="s">
        <v>301</v>
      </c>
      <c r="D71" s="15" t="s">
        <v>530</v>
      </c>
      <c r="E71" s="97">
        <v>1400.0</v>
      </c>
      <c r="F71" s="46">
        <f>SUMIF(Data_Log!D:D, A71, Data_Log!J:J)</f>
        <v>59670</v>
      </c>
    </row>
    <row r="72">
      <c r="A72" s="24" t="s">
        <v>120</v>
      </c>
      <c r="B72" s="20" t="s">
        <v>25</v>
      </c>
      <c r="C72" s="66" t="s">
        <v>305</v>
      </c>
      <c r="D72" s="15" t="s">
        <v>530</v>
      </c>
      <c r="E72" s="97">
        <v>2500.0</v>
      </c>
      <c r="F72" s="46">
        <f>SUMIF(Data_Log!D:D, A72, Data_Log!J:J)</f>
        <v>85400</v>
      </c>
    </row>
    <row r="73">
      <c r="A73" s="24" t="s">
        <v>306</v>
      </c>
      <c r="B73" s="20" t="s">
        <v>25</v>
      </c>
      <c r="C73" s="66" t="s">
        <v>307</v>
      </c>
      <c r="D73" s="15" t="s">
        <v>530</v>
      </c>
      <c r="E73" s="97">
        <v>3000.0</v>
      </c>
      <c r="F73" s="46">
        <f>SUMIF(Data_Log!D:D, A73, Data_Log!J:J)</f>
        <v>0</v>
      </c>
    </row>
    <row r="74">
      <c r="A74" s="24" t="s">
        <v>142</v>
      </c>
      <c r="B74" s="20" t="s">
        <v>25</v>
      </c>
      <c r="C74" s="66" t="s">
        <v>311</v>
      </c>
      <c r="D74" s="15" t="s">
        <v>530</v>
      </c>
      <c r="E74" s="97">
        <v>3000.0</v>
      </c>
      <c r="F74" s="46">
        <f>SUMIF(Data_Log!D:D, A74, Data_Log!J:J)</f>
        <v>928500</v>
      </c>
    </row>
    <row r="75">
      <c r="A75" s="24" t="s">
        <v>247</v>
      </c>
      <c r="B75" s="20" t="s">
        <v>25</v>
      </c>
      <c r="C75" s="66" t="s">
        <v>313</v>
      </c>
      <c r="D75" s="15" t="s">
        <v>530</v>
      </c>
      <c r="E75" s="97">
        <v>3000.0</v>
      </c>
      <c r="F75" s="46">
        <f>SUMIF(Data_Log!D:D, A75, Data_Log!J:J)</f>
        <v>3402435</v>
      </c>
    </row>
    <row r="76">
      <c r="A76" s="98" t="s">
        <v>37</v>
      </c>
      <c r="B76" s="20" t="s">
        <v>25</v>
      </c>
      <c r="C76" s="20" t="s">
        <v>654</v>
      </c>
      <c r="D76" s="15" t="s">
        <v>530</v>
      </c>
      <c r="E76" s="93">
        <v>5600.0</v>
      </c>
      <c r="F76" s="46">
        <f>SUMIF(Data_Log!D:D, A76, Data_Log!J:J)</f>
        <v>1957551.5</v>
      </c>
    </row>
    <row r="77">
      <c r="A77" s="98" t="s">
        <v>308</v>
      </c>
      <c r="B77" s="20" t="s">
        <v>25</v>
      </c>
      <c r="C77" s="56" t="s">
        <v>655</v>
      </c>
      <c r="D77" s="15" t="s">
        <v>530</v>
      </c>
      <c r="E77" s="93">
        <v>1500.0</v>
      </c>
      <c r="F77" s="46">
        <f>SUMIF(Data_Log!D:D, A77, Data_Log!J:J)</f>
        <v>69175</v>
      </c>
    </row>
    <row r="78">
      <c r="A78" s="98" t="s">
        <v>656</v>
      </c>
      <c r="B78" s="20" t="s">
        <v>25</v>
      </c>
      <c r="C78" s="20" t="s">
        <v>316</v>
      </c>
      <c r="D78" s="15" t="s">
        <v>530</v>
      </c>
      <c r="E78" s="93">
        <v>1000.0</v>
      </c>
      <c r="F78" s="46">
        <f>SUMIF(Data_Log!D:D, A78, Data_Log!J:J)</f>
        <v>0</v>
      </c>
    </row>
    <row r="79">
      <c r="A79" s="98" t="s">
        <v>657</v>
      </c>
      <c r="B79" s="20" t="s">
        <v>25</v>
      </c>
      <c r="C79" s="56" t="s">
        <v>321</v>
      </c>
      <c r="D79" s="15" t="s">
        <v>530</v>
      </c>
      <c r="E79" s="42"/>
      <c r="F79" s="46">
        <f>SUMIF(Data_Log!D:D, A79, Data_Log!J:J)</f>
        <v>0</v>
      </c>
    </row>
    <row r="80">
      <c r="A80" s="24" t="s">
        <v>323</v>
      </c>
      <c r="B80" s="20" t="s">
        <v>25</v>
      </c>
      <c r="C80" s="7" t="s">
        <v>658</v>
      </c>
      <c r="D80" s="15" t="s">
        <v>530</v>
      </c>
      <c r="E80" s="97">
        <v>1500.0</v>
      </c>
      <c r="F80" s="46">
        <f>SUMIF(Data_Log!D:D, A80, Data_Log!J:J)</f>
        <v>0</v>
      </c>
    </row>
    <row r="81">
      <c r="A81" s="24" t="s">
        <v>327</v>
      </c>
      <c r="B81" s="20" t="s">
        <v>25</v>
      </c>
      <c r="C81" s="7" t="s">
        <v>659</v>
      </c>
      <c r="D81" s="15" t="s">
        <v>530</v>
      </c>
      <c r="E81" s="97">
        <v>1500.0</v>
      </c>
      <c r="F81" s="46">
        <f>SUMIF(Data_Log!D:D, A81, Data_Log!J:J)</f>
        <v>0</v>
      </c>
    </row>
    <row r="82">
      <c r="A82" s="24" t="s">
        <v>330</v>
      </c>
      <c r="B82" s="20" t="s">
        <v>25</v>
      </c>
      <c r="C82" s="7" t="s">
        <v>660</v>
      </c>
      <c r="D82" s="15" t="s">
        <v>530</v>
      </c>
      <c r="E82" s="97">
        <v>1500.0</v>
      </c>
      <c r="F82" s="46">
        <f>SUMIF(Data_Log!D:D, A82, Data_Log!J:J)</f>
        <v>0</v>
      </c>
    </row>
    <row r="83">
      <c r="A83" s="24" t="s">
        <v>127</v>
      </c>
      <c r="B83" s="20" t="s">
        <v>25</v>
      </c>
      <c r="C83" s="7" t="s">
        <v>661</v>
      </c>
      <c r="D83" s="15" t="s">
        <v>530</v>
      </c>
      <c r="E83" s="97">
        <v>1000.0</v>
      </c>
      <c r="F83" s="46">
        <f>SUMIF(Data_Log!D:D, A83, Data_Log!J:J)</f>
        <v>522865</v>
      </c>
    </row>
    <row r="84">
      <c r="A84" s="24" t="s">
        <v>334</v>
      </c>
      <c r="B84" s="20" t="s">
        <v>25</v>
      </c>
      <c r="C84" s="7" t="s">
        <v>662</v>
      </c>
      <c r="D84" s="15" t="s">
        <v>530</v>
      </c>
      <c r="E84" s="67">
        <v>1500.0</v>
      </c>
      <c r="F84" s="46">
        <f>SUMIF(Data_Log!D:D, A84, Data_Log!J:J)</f>
        <v>0</v>
      </c>
    </row>
    <row r="85">
      <c r="A85" s="24" t="s">
        <v>337</v>
      </c>
      <c r="B85" s="20" t="s">
        <v>25</v>
      </c>
      <c r="C85" s="7" t="s">
        <v>663</v>
      </c>
      <c r="D85" s="15" t="s">
        <v>530</v>
      </c>
      <c r="E85" s="67">
        <v>1500.0</v>
      </c>
      <c r="F85" s="46">
        <f>SUMIF(Data_Log!D:D, A85, Data_Log!J:J)</f>
        <v>0</v>
      </c>
    </row>
    <row r="86">
      <c r="A86" s="24" t="s">
        <v>340</v>
      </c>
      <c r="B86" s="20" t="s">
        <v>25</v>
      </c>
      <c r="C86" s="7" t="s">
        <v>664</v>
      </c>
      <c r="D86" s="15" t="s">
        <v>530</v>
      </c>
      <c r="E86" s="67">
        <v>1500.0</v>
      </c>
      <c r="F86" s="46">
        <f>SUMIF(Data_Log!D:D, A86, Data_Log!J:J)</f>
        <v>0</v>
      </c>
    </row>
    <row r="87">
      <c r="A87" s="24" t="s">
        <v>343</v>
      </c>
      <c r="B87" s="20" t="s">
        <v>25</v>
      </c>
      <c r="C87" s="7" t="s">
        <v>665</v>
      </c>
      <c r="D87" s="15" t="s">
        <v>530</v>
      </c>
      <c r="E87" s="67">
        <v>1000.0</v>
      </c>
      <c r="F87" s="46">
        <f>SUMIF(Data_Log!D:D, A87, Data_Log!J:J)</f>
        <v>0</v>
      </c>
    </row>
    <row r="88">
      <c r="A88" s="24" t="s">
        <v>471</v>
      </c>
      <c r="B88" s="20" t="s">
        <v>25</v>
      </c>
      <c r="C88" s="20" t="s">
        <v>349</v>
      </c>
      <c r="D88" s="15" t="s">
        <v>530</v>
      </c>
      <c r="E88" s="42">
        <v>10000.0</v>
      </c>
      <c r="F88" s="46">
        <f>SUMIF(Data_Log!D:D, A88, Data_Log!J:J)</f>
        <v>0</v>
      </c>
    </row>
    <row r="89">
      <c r="A89" s="24" t="s">
        <v>666</v>
      </c>
      <c r="B89" s="20" t="s">
        <v>352</v>
      </c>
      <c r="C89" s="20" t="s">
        <v>351</v>
      </c>
      <c r="D89" s="15" t="s">
        <v>530</v>
      </c>
      <c r="E89" s="21"/>
      <c r="F89" s="46">
        <f>SUMIF(Data_Log!D:D, A89, Data_Log!J:J)</f>
        <v>0</v>
      </c>
    </row>
    <row r="90">
      <c r="A90" s="24" t="s">
        <v>667</v>
      </c>
      <c r="B90" s="20" t="s">
        <v>352</v>
      </c>
      <c r="C90" s="20" t="s">
        <v>353</v>
      </c>
      <c r="D90" s="15" t="s">
        <v>530</v>
      </c>
      <c r="E90" s="42">
        <v>10000.0</v>
      </c>
      <c r="F90" s="46">
        <f>SUMIF(Data_Log!D:D, A90, Data_Log!J:J)</f>
        <v>0</v>
      </c>
    </row>
    <row r="91">
      <c r="A91" s="57"/>
    </row>
    <row r="92">
      <c r="A92" s="57"/>
    </row>
    <row r="93">
      <c r="A93" s="57"/>
    </row>
    <row r="94">
      <c r="A94" s="57"/>
    </row>
    <row r="95">
      <c r="A95" s="57"/>
    </row>
    <row r="96">
      <c r="A96" s="57"/>
    </row>
    <row r="97">
      <c r="A97" s="57"/>
    </row>
    <row r="98">
      <c r="A98" s="57"/>
    </row>
    <row r="99">
      <c r="A99" s="57"/>
    </row>
    <row r="100">
      <c r="A100" s="57"/>
    </row>
    <row r="101">
      <c r="A101" s="57"/>
    </row>
    <row r="102">
      <c r="A102" s="57"/>
    </row>
    <row r="103">
      <c r="A103" s="57"/>
    </row>
    <row r="104">
      <c r="A104" s="57"/>
    </row>
    <row r="105">
      <c r="A105" s="57"/>
    </row>
    <row r="106">
      <c r="A106" s="57"/>
    </row>
    <row r="107">
      <c r="A107" s="57"/>
    </row>
    <row r="108">
      <c r="A108" s="57"/>
    </row>
    <row r="109">
      <c r="A109" s="57"/>
    </row>
    <row r="110">
      <c r="A110" s="57"/>
    </row>
    <row r="111">
      <c r="A111" s="57"/>
    </row>
    <row r="112">
      <c r="A112" s="57"/>
    </row>
    <row r="113">
      <c r="A113" s="57"/>
    </row>
    <row r="114">
      <c r="A114" s="57"/>
    </row>
    <row r="115">
      <c r="A115" s="57"/>
    </row>
    <row r="116">
      <c r="A116" s="57"/>
    </row>
    <row r="117">
      <c r="A117" s="57"/>
    </row>
    <row r="118">
      <c r="A118" s="57"/>
    </row>
    <row r="119">
      <c r="A119" s="57"/>
    </row>
    <row r="120">
      <c r="A120" s="57"/>
    </row>
    <row r="121">
      <c r="A121" s="57"/>
    </row>
    <row r="122">
      <c r="A122" s="57"/>
    </row>
    <row r="123">
      <c r="A123" s="57"/>
    </row>
    <row r="124">
      <c r="A124" s="57"/>
    </row>
    <row r="125">
      <c r="A125" s="57"/>
    </row>
    <row r="126">
      <c r="A126" s="57"/>
    </row>
    <row r="127">
      <c r="A127" s="57"/>
    </row>
    <row r="128">
      <c r="A128" s="57"/>
    </row>
    <row r="129">
      <c r="A129" s="57"/>
    </row>
    <row r="130">
      <c r="A130" s="57"/>
    </row>
    <row r="131">
      <c r="A131" s="57"/>
    </row>
    <row r="132">
      <c r="A132" s="57"/>
    </row>
    <row r="133">
      <c r="A133" s="57"/>
    </row>
    <row r="134">
      <c r="A134" s="57"/>
    </row>
    <row r="135">
      <c r="A135" s="57"/>
    </row>
    <row r="136">
      <c r="A136" s="57"/>
    </row>
    <row r="137">
      <c r="A137" s="57"/>
    </row>
    <row r="138">
      <c r="A138" s="57"/>
    </row>
    <row r="139">
      <c r="A139" s="57"/>
    </row>
    <row r="140">
      <c r="A140" s="57"/>
    </row>
    <row r="141">
      <c r="A141" s="57"/>
    </row>
    <row r="142">
      <c r="A142" s="57"/>
    </row>
    <row r="143">
      <c r="A143" s="57"/>
    </row>
    <row r="144">
      <c r="A144" s="57"/>
    </row>
    <row r="145">
      <c r="A145" s="57"/>
    </row>
    <row r="146">
      <c r="A146" s="57"/>
    </row>
    <row r="147">
      <c r="A147" s="57"/>
    </row>
    <row r="148">
      <c r="A148" s="57"/>
    </row>
    <row r="149">
      <c r="A149" s="57"/>
    </row>
    <row r="150">
      <c r="A150" s="57"/>
    </row>
    <row r="151">
      <c r="A151" s="57"/>
    </row>
    <row r="152">
      <c r="A152" s="57"/>
    </row>
    <row r="153">
      <c r="A153" s="57"/>
    </row>
    <row r="154">
      <c r="A154" s="57"/>
    </row>
    <row r="155">
      <c r="A155" s="57"/>
    </row>
    <row r="156">
      <c r="A156" s="57"/>
    </row>
    <row r="157">
      <c r="A157" s="57"/>
    </row>
    <row r="158">
      <c r="A158" s="57"/>
    </row>
    <row r="159">
      <c r="A159" s="57"/>
    </row>
    <row r="160">
      <c r="A160" s="57"/>
    </row>
    <row r="161">
      <c r="A161" s="57"/>
    </row>
    <row r="162">
      <c r="A162" s="57"/>
    </row>
    <row r="163">
      <c r="A163" s="57"/>
    </row>
    <row r="164">
      <c r="A164" s="57"/>
    </row>
    <row r="165">
      <c r="A165" s="57"/>
    </row>
    <row r="166">
      <c r="A166" s="57"/>
    </row>
    <row r="167">
      <c r="A167" s="57"/>
    </row>
    <row r="168">
      <c r="A168" s="57"/>
    </row>
    <row r="169">
      <c r="A169" s="57"/>
    </row>
    <row r="170">
      <c r="A170" s="57"/>
    </row>
    <row r="171">
      <c r="A171" s="57"/>
    </row>
    <row r="172">
      <c r="A172" s="57"/>
    </row>
    <row r="173">
      <c r="A173" s="57"/>
    </row>
    <row r="174">
      <c r="A174" s="57"/>
    </row>
    <row r="175">
      <c r="A175" s="57"/>
    </row>
    <row r="176">
      <c r="A176" s="57"/>
    </row>
    <row r="177">
      <c r="A177" s="57"/>
    </row>
    <row r="178">
      <c r="A178" s="57"/>
    </row>
    <row r="179">
      <c r="A179" s="57"/>
    </row>
    <row r="180">
      <c r="A180" s="57"/>
    </row>
    <row r="181">
      <c r="A181" s="57"/>
    </row>
    <row r="182">
      <c r="A182" s="57"/>
    </row>
    <row r="183">
      <c r="A183" s="57"/>
    </row>
    <row r="184">
      <c r="A184" s="57"/>
    </row>
    <row r="185">
      <c r="A185" s="57"/>
    </row>
    <row r="186">
      <c r="A186" s="57"/>
    </row>
    <row r="187">
      <c r="A187" s="57"/>
    </row>
    <row r="188">
      <c r="A188" s="57"/>
    </row>
    <row r="189">
      <c r="A189" s="57"/>
    </row>
    <row r="190">
      <c r="A190" s="57"/>
    </row>
    <row r="191">
      <c r="A191" s="57"/>
    </row>
    <row r="192">
      <c r="A192" s="57"/>
    </row>
    <row r="193">
      <c r="A193" s="57"/>
    </row>
    <row r="194">
      <c r="A194" s="57"/>
    </row>
    <row r="195">
      <c r="A195" s="57"/>
    </row>
    <row r="196">
      <c r="A196" s="57"/>
    </row>
    <row r="197">
      <c r="A197" s="57"/>
    </row>
    <row r="198">
      <c r="A198" s="57"/>
    </row>
    <row r="199">
      <c r="A199" s="57"/>
    </row>
    <row r="200">
      <c r="A200" s="57"/>
    </row>
    <row r="201">
      <c r="A201" s="57"/>
    </row>
    <row r="202">
      <c r="A202" s="57"/>
    </row>
    <row r="203">
      <c r="A203" s="57"/>
    </row>
    <row r="204">
      <c r="A204" s="57"/>
    </row>
    <row r="205">
      <c r="A205" s="57"/>
    </row>
    <row r="206">
      <c r="A206" s="57"/>
    </row>
    <row r="207">
      <c r="A207" s="57"/>
    </row>
    <row r="208">
      <c r="A208" s="57"/>
    </row>
    <row r="209">
      <c r="A209" s="57"/>
    </row>
    <row r="210">
      <c r="A210" s="57"/>
    </row>
    <row r="211">
      <c r="A211" s="57"/>
    </row>
    <row r="212">
      <c r="A212" s="57"/>
    </row>
    <row r="213">
      <c r="A213" s="57"/>
    </row>
    <row r="214">
      <c r="A214" s="57"/>
    </row>
    <row r="215">
      <c r="A215" s="57"/>
    </row>
    <row r="216">
      <c r="A216" s="57"/>
    </row>
    <row r="217">
      <c r="A217" s="57"/>
    </row>
    <row r="218">
      <c r="A218" s="57"/>
    </row>
    <row r="219">
      <c r="A219" s="57"/>
    </row>
    <row r="220">
      <c r="A220" s="57"/>
    </row>
    <row r="221">
      <c r="A221" s="57"/>
    </row>
    <row r="222">
      <c r="A222" s="57"/>
    </row>
    <row r="223">
      <c r="A223" s="57"/>
    </row>
    <row r="224">
      <c r="A224" s="57"/>
    </row>
    <row r="225">
      <c r="A225" s="57"/>
    </row>
    <row r="226">
      <c r="A226" s="57"/>
    </row>
    <row r="227">
      <c r="A227" s="57"/>
    </row>
    <row r="228">
      <c r="A228" s="57"/>
    </row>
    <row r="229">
      <c r="A229" s="57"/>
    </row>
    <row r="230">
      <c r="A230" s="57"/>
    </row>
    <row r="231">
      <c r="A231" s="57"/>
    </row>
    <row r="232">
      <c r="A232" s="57"/>
    </row>
    <row r="233">
      <c r="A233" s="57"/>
    </row>
    <row r="234">
      <c r="A234" s="57"/>
    </row>
    <row r="235">
      <c r="A235" s="57"/>
    </row>
    <row r="236">
      <c r="A236" s="57"/>
    </row>
    <row r="237">
      <c r="A237" s="57"/>
    </row>
    <row r="238">
      <c r="A238" s="57"/>
    </row>
    <row r="239">
      <c r="A239" s="57"/>
    </row>
    <row r="240">
      <c r="A240" s="57"/>
    </row>
    <row r="241">
      <c r="A241" s="57"/>
    </row>
    <row r="242">
      <c r="A242" s="57"/>
    </row>
    <row r="243">
      <c r="A243" s="57"/>
    </row>
    <row r="244">
      <c r="A244" s="57"/>
    </row>
    <row r="245">
      <c r="A245" s="57"/>
    </row>
    <row r="246">
      <c r="A246" s="57"/>
    </row>
    <row r="247">
      <c r="A247" s="57"/>
    </row>
    <row r="248">
      <c r="A248" s="57"/>
    </row>
    <row r="249">
      <c r="A249" s="57"/>
    </row>
    <row r="250">
      <c r="A250" s="57"/>
    </row>
    <row r="251">
      <c r="A251" s="57"/>
    </row>
    <row r="252">
      <c r="A252" s="57"/>
    </row>
    <row r="253">
      <c r="A253" s="57"/>
    </row>
    <row r="254">
      <c r="A254" s="57"/>
    </row>
    <row r="255">
      <c r="A255" s="57"/>
    </row>
    <row r="256">
      <c r="A256" s="57"/>
    </row>
    <row r="257">
      <c r="A257" s="57"/>
    </row>
    <row r="258">
      <c r="A258" s="57"/>
    </row>
    <row r="259">
      <c r="A259" s="57"/>
    </row>
    <row r="260">
      <c r="A260" s="57"/>
    </row>
    <row r="261">
      <c r="A261" s="57"/>
    </row>
    <row r="262">
      <c r="A262" s="57"/>
    </row>
    <row r="263">
      <c r="A263" s="57"/>
    </row>
    <row r="264">
      <c r="A264" s="57"/>
    </row>
    <row r="265">
      <c r="A265" s="57"/>
    </row>
    <row r="266">
      <c r="A266" s="57"/>
    </row>
    <row r="267">
      <c r="A267" s="57"/>
    </row>
    <row r="268">
      <c r="A268" s="57"/>
    </row>
    <row r="269">
      <c r="A269" s="57"/>
    </row>
    <row r="270">
      <c r="A270" s="57"/>
    </row>
    <row r="271">
      <c r="A271" s="57"/>
    </row>
    <row r="272">
      <c r="A272" s="57"/>
    </row>
    <row r="273">
      <c r="A273" s="57"/>
    </row>
    <row r="274">
      <c r="A274" s="57"/>
    </row>
    <row r="275">
      <c r="A275" s="57"/>
    </row>
    <row r="276">
      <c r="A276" s="57"/>
    </row>
    <row r="277">
      <c r="A277" s="57"/>
    </row>
    <row r="278">
      <c r="A278" s="57"/>
    </row>
    <row r="279">
      <c r="A279" s="57"/>
    </row>
    <row r="280">
      <c r="A280" s="57"/>
    </row>
    <row r="281">
      <c r="A281" s="57"/>
    </row>
    <row r="282">
      <c r="A282" s="57"/>
    </row>
    <row r="283">
      <c r="A283" s="57"/>
    </row>
    <row r="284">
      <c r="A284" s="57"/>
    </row>
    <row r="285">
      <c r="A285" s="57"/>
    </row>
    <row r="286">
      <c r="A286" s="57"/>
    </row>
    <row r="287">
      <c r="A287" s="57"/>
    </row>
    <row r="288">
      <c r="A288" s="57"/>
    </row>
    <row r="289">
      <c r="A289" s="57"/>
    </row>
    <row r="290">
      <c r="A290" s="57"/>
    </row>
    <row r="291">
      <c r="A291" s="57"/>
    </row>
    <row r="292">
      <c r="A292" s="57"/>
    </row>
    <row r="293">
      <c r="A293" s="57"/>
    </row>
    <row r="294">
      <c r="A294" s="57"/>
    </row>
    <row r="295">
      <c r="A295" s="57"/>
    </row>
    <row r="296">
      <c r="A296" s="57"/>
    </row>
    <row r="297">
      <c r="A297" s="57"/>
    </row>
    <row r="298">
      <c r="A298" s="57"/>
    </row>
    <row r="299">
      <c r="A299" s="57"/>
    </row>
    <row r="300">
      <c r="A300" s="57"/>
    </row>
    <row r="301">
      <c r="A301" s="57"/>
    </row>
    <row r="302">
      <c r="A302" s="57"/>
    </row>
    <row r="303">
      <c r="A303" s="57"/>
    </row>
    <row r="304">
      <c r="A304" s="57"/>
    </row>
    <row r="305">
      <c r="A305" s="57"/>
    </row>
    <row r="306">
      <c r="A306" s="57"/>
    </row>
    <row r="307">
      <c r="A307" s="57"/>
    </row>
    <row r="308">
      <c r="A308" s="57"/>
    </row>
    <row r="309">
      <c r="A309" s="57"/>
    </row>
    <row r="310">
      <c r="A310" s="57"/>
    </row>
    <row r="311">
      <c r="A311" s="57"/>
    </row>
    <row r="312">
      <c r="A312" s="57"/>
    </row>
    <row r="313">
      <c r="A313" s="57"/>
    </row>
    <row r="314">
      <c r="A314" s="57"/>
    </row>
    <row r="315">
      <c r="A315" s="57"/>
    </row>
    <row r="316">
      <c r="A316" s="57"/>
    </row>
    <row r="317">
      <c r="A317" s="57"/>
    </row>
    <row r="318">
      <c r="A318" s="57"/>
    </row>
    <row r="319">
      <c r="A319" s="57"/>
    </row>
    <row r="320">
      <c r="A320" s="57"/>
    </row>
    <row r="321">
      <c r="A321" s="57"/>
    </row>
    <row r="322">
      <c r="A322" s="57"/>
    </row>
    <row r="323">
      <c r="A323" s="57"/>
    </row>
    <row r="324">
      <c r="A324" s="57"/>
    </row>
    <row r="325">
      <c r="A325" s="57"/>
    </row>
    <row r="326">
      <c r="A326" s="57"/>
    </row>
    <row r="327">
      <c r="A327" s="57"/>
    </row>
    <row r="328">
      <c r="A328" s="57"/>
    </row>
    <row r="329">
      <c r="A329" s="57"/>
    </row>
    <row r="330">
      <c r="A330" s="57"/>
    </row>
    <row r="331">
      <c r="A331" s="57"/>
    </row>
    <row r="332">
      <c r="A332" s="57"/>
    </row>
    <row r="333">
      <c r="A333" s="57"/>
    </row>
    <row r="334">
      <c r="A334" s="57"/>
    </row>
    <row r="335">
      <c r="A335" s="57"/>
    </row>
    <row r="336">
      <c r="A336" s="57"/>
    </row>
    <row r="337">
      <c r="A337" s="57"/>
    </row>
    <row r="338">
      <c r="A338" s="57"/>
    </row>
    <row r="339">
      <c r="A339" s="57"/>
    </row>
    <row r="340">
      <c r="A340" s="57"/>
    </row>
    <row r="341">
      <c r="A341" s="57"/>
    </row>
    <row r="342">
      <c r="A342" s="57"/>
    </row>
    <row r="343">
      <c r="A343" s="57"/>
    </row>
    <row r="344">
      <c r="A344" s="57"/>
    </row>
    <row r="345">
      <c r="A345" s="57"/>
    </row>
    <row r="346">
      <c r="A346" s="57"/>
    </row>
    <row r="347">
      <c r="A347" s="57"/>
    </row>
    <row r="348">
      <c r="A348" s="57"/>
    </row>
    <row r="349">
      <c r="A349" s="57"/>
    </row>
    <row r="350">
      <c r="A350" s="57"/>
    </row>
    <row r="351">
      <c r="A351" s="57"/>
    </row>
    <row r="352">
      <c r="A352" s="57"/>
    </row>
    <row r="353">
      <c r="A353" s="57"/>
    </row>
    <row r="354">
      <c r="A354" s="57"/>
    </row>
    <row r="355">
      <c r="A355" s="57"/>
    </row>
    <row r="356">
      <c r="A356" s="57"/>
    </row>
    <row r="357">
      <c r="A357" s="57"/>
    </row>
    <row r="358">
      <c r="A358" s="57"/>
    </row>
    <row r="359">
      <c r="A359" s="57"/>
    </row>
    <row r="360">
      <c r="A360" s="57"/>
    </row>
    <row r="361">
      <c r="A361" s="57"/>
    </row>
    <row r="362">
      <c r="A362" s="57"/>
    </row>
    <row r="363">
      <c r="A363" s="57"/>
    </row>
    <row r="364">
      <c r="A364" s="57"/>
    </row>
    <row r="365">
      <c r="A365" s="57"/>
    </row>
    <row r="366">
      <c r="A366" s="57"/>
    </row>
    <row r="367">
      <c r="A367" s="57"/>
    </row>
    <row r="368">
      <c r="A368" s="57"/>
    </row>
    <row r="369">
      <c r="A369" s="57"/>
    </row>
    <row r="370">
      <c r="A370" s="57"/>
    </row>
    <row r="371">
      <c r="A371" s="57"/>
    </row>
    <row r="372">
      <c r="A372" s="57"/>
    </row>
    <row r="373">
      <c r="A373" s="57"/>
    </row>
    <row r="374">
      <c r="A374" s="57"/>
    </row>
    <row r="375">
      <c r="A375" s="57"/>
    </row>
    <row r="376">
      <c r="A376" s="57"/>
    </row>
    <row r="377">
      <c r="A377" s="57"/>
    </row>
    <row r="378">
      <c r="A378" s="57"/>
    </row>
    <row r="379">
      <c r="A379" s="57"/>
    </row>
    <row r="380">
      <c r="A380" s="57"/>
    </row>
    <row r="381">
      <c r="A381" s="57"/>
    </row>
    <row r="382">
      <c r="A382" s="57"/>
    </row>
    <row r="383">
      <c r="A383" s="57"/>
    </row>
    <row r="384">
      <c r="A384" s="57"/>
    </row>
    <row r="385">
      <c r="A385" s="57"/>
    </row>
    <row r="386">
      <c r="A386" s="57"/>
    </row>
    <row r="387">
      <c r="A387" s="57"/>
    </row>
    <row r="388">
      <c r="A388" s="57"/>
    </row>
    <row r="389">
      <c r="A389" s="57"/>
    </row>
    <row r="390">
      <c r="A390" s="57"/>
    </row>
    <row r="391">
      <c r="A391" s="57"/>
    </row>
    <row r="392">
      <c r="A392" s="57"/>
    </row>
    <row r="393">
      <c r="A393" s="57"/>
    </row>
    <row r="394">
      <c r="A394" s="57"/>
    </row>
    <row r="395">
      <c r="A395" s="57"/>
    </row>
    <row r="396">
      <c r="A396" s="57"/>
    </row>
    <row r="397">
      <c r="A397" s="57"/>
    </row>
    <row r="398">
      <c r="A398" s="57"/>
    </row>
    <row r="399">
      <c r="A399" s="57"/>
    </row>
    <row r="400">
      <c r="A400" s="57"/>
    </row>
    <row r="401">
      <c r="A401" s="57"/>
    </row>
    <row r="402">
      <c r="A402" s="57"/>
    </row>
    <row r="403">
      <c r="A403" s="57"/>
    </row>
    <row r="404">
      <c r="A404" s="57"/>
    </row>
    <row r="405">
      <c r="A405" s="57"/>
    </row>
    <row r="406">
      <c r="A406" s="57"/>
    </row>
    <row r="407">
      <c r="A407" s="57"/>
    </row>
    <row r="408">
      <c r="A408" s="57"/>
    </row>
    <row r="409">
      <c r="A409" s="57"/>
    </row>
    <row r="410">
      <c r="A410" s="57"/>
    </row>
    <row r="411">
      <c r="A411" s="57"/>
    </row>
    <row r="412">
      <c r="A412" s="57"/>
    </row>
    <row r="413">
      <c r="A413" s="57"/>
    </row>
    <row r="414">
      <c r="A414" s="57"/>
    </row>
    <row r="415">
      <c r="A415" s="57"/>
    </row>
    <row r="416">
      <c r="A416" s="57"/>
    </row>
    <row r="417">
      <c r="A417" s="57"/>
    </row>
    <row r="418">
      <c r="A418" s="57"/>
    </row>
    <row r="419">
      <c r="A419" s="57"/>
    </row>
    <row r="420">
      <c r="A420" s="57"/>
    </row>
    <row r="421">
      <c r="A421" s="57"/>
    </row>
    <row r="422">
      <c r="A422" s="57"/>
    </row>
    <row r="423">
      <c r="A423" s="57"/>
    </row>
    <row r="424">
      <c r="A424" s="57"/>
    </row>
    <row r="425">
      <c r="A425" s="57"/>
    </row>
    <row r="426">
      <c r="A426" s="57"/>
    </row>
    <row r="427">
      <c r="A427" s="57"/>
    </row>
    <row r="428">
      <c r="A428" s="57"/>
    </row>
    <row r="429">
      <c r="A429" s="57"/>
    </row>
    <row r="430">
      <c r="A430" s="57"/>
    </row>
    <row r="431">
      <c r="A431" s="57"/>
    </row>
    <row r="432">
      <c r="A432" s="57"/>
    </row>
    <row r="433">
      <c r="A433" s="57"/>
    </row>
    <row r="434">
      <c r="A434" s="57"/>
    </row>
    <row r="435">
      <c r="A435" s="57"/>
    </row>
    <row r="436">
      <c r="A436" s="57"/>
    </row>
    <row r="437">
      <c r="A437" s="57"/>
    </row>
    <row r="438">
      <c r="A438" s="57"/>
    </row>
    <row r="439">
      <c r="A439" s="57"/>
    </row>
    <row r="440">
      <c r="A440" s="57"/>
    </row>
    <row r="441">
      <c r="A441" s="57"/>
    </row>
    <row r="442">
      <c r="A442" s="57"/>
    </row>
    <row r="443">
      <c r="A443" s="57"/>
    </row>
    <row r="444">
      <c r="A444" s="57"/>
    </row>
    <row r="445">
      <c r="A445" s="57"/>
    </row>
    <row r="446">
      <c r="A446" s="57"/>
    </row>
    <row r="447">
      <c r="A447" s="57"/>
    </row>
    <row r="448">
      <c r="A448" s="57"/>
    </row>
    <row r="449">
      <c r="A449" s="57"/>
    </row>
    <row r="450">
      <c r="A450" s="57"/>
    </row>
    <row r="451">
      <c r="A451" s="57"/>
    </row>
    <row r="452">
      <c r="A452" s="57"/>
    </row>
    <row r="453">
      <c r="A453" s="57"/>
    </row>
    <row r="454">
      <c r="A454" s="57"/>
    </row>
    <row r="455">
      <c r="A455" s="57"/>
    </row>
    <row r="456">
      <c r="A456" s="57"/>
    </row>
    <row r="457">
      <c r="A457" s="57"/>
    </row>
    <row r="458">
      <c r="A458" s="57"/>
    </row>
    <row r="459">
      <c r="A459" s="57"/>
    </row>
    <row r="460">
      <c r="A460" s="57"/>
    </row>
    <row r="461">
      <c r="A461" s="57"/>
    </row>
    <row r="462">
      <c r="A462" s="57"/>
    </row>
    <row r="463">
      <c r="A463" s="57"/>
    </row>
    <row r="464">
      <c r="A464" s="57"/>
    </row>
    <row r="465">
      <c r="A465" s="57"/>
    </row>
    <row r="466">
      <c r="A466" s="57"/>
    </row>
    <row r="467">
      <c r="A467" s="57"/>
    </row>
    <row r="468">
      <c r="A468" s="57"/>
    </row>
    <row r="469">
      <c r="A469" s="57"/>
    </row>
    <row r="470">
      <c r="A470" s="57"/>
    </row>
    <row r="471">
      <c r="A471" s="57"/>
    </row>
    <row r="472">
      <c r="A472" s="57"/>
    </row>
    <row r="473">
      <c r="A473" s="57"/>
    </row>
    <row r="474">
      <c r="A474" s="57"/>
    </row>
    <row r="475">
      <c r="A475" s="57"/>
    </row>
    <row r="476">
      <c r="A476" s="57"/>
    </row>
    <row r="477">
      <c r="A477" s="57"/>
    </row>
    <row r="478">
      <c r="A478" s="57"/>
    </row>
    <row r="479">
      <c r="A479" s="57"/>
    </row>
    <row r="480">
      <c r="A480" s="57"/>
    </row>
    <row r="481">
      <c r="A481" s="57"/>
    </row>
    <row r="482">
      <c r="A482" s="57"/>
    </row>
    <row r="483">
      <c r="A483" s="57"/>
    </row>
    <row r="484">
      <c r="A484" s="57"/>
    </row>
    <row r="485">
      <c r="A485" s="57"/>
    </row>
    <row r="486">
      <c r="A486" s="57"/>
    </row>
    <row r="487">
      <c r="A487" s="57"/>
    </row>
    <row r="488">
      <c r="A488" s="57"/>
    </row>
    <row r="489">
      <c r="A489" s="57"/>
    </row>
    <row r="490">
      <c r="A490" s="57"/>
    </row>
    <row r="491">
      <c r="A491" s="57"/>
    </row>
    <row r="492">
      <c r="A492" s="57"/>
    </row>
    <row r="493">
      <c r="A493" s="57"/>
    </row>
    <row r="494">
      <c r="A494" s="57"/>
    </row>
    <row r="495">
      <c r="A495" s="57"/>
    </row>
    <row r="496">
      <c r="A496" s="57"/>
    </row>
    <row r="497">
      <c r="A497" s="57"/>
    </row>
    <row r="498">
      <c r="A498" s="57"/>
    </row>
    <row r="499">
      <c r="A499" s="57"/>
    </row>
    <row r="500">
      <c r="A500" s="57"/>
    </row>
    <row r="501">
      <c r="A501" s="57"/>
    </row>
    <row r="502">
      <c r="A502" s="57"/>
    </row>
    <row r="503">
      <c r="A503" s="57"/>
    </row>
    <row r="504">
      <c r="A504" s="57"/>
    </row>
    <row r="505">
      <c r="A505" s="57"/>
    </row>
    <row r="506">
      <c r="A506" s="57"/>
    </row>
    <row r="507">
      <c r="A507" s="57"/>
    </row>
    <row r="508">
      <c r="A508" s="57"/>
    </row>
    <row r="509">
      <c r="A509" s="57"/>
    </row>
    <row r="510">
      <c r="A510" s="57"/>
    </row>
    <row r="511">
      <c r="A511" s="57"/>
    </row>
    <row r="512">
      <c r="A512" s="57"/>
    </row>
    <row r="513">
      <c r="A513" s="57"/>
    </row>
    <row r="514">
      <c r="A514" s="57"/>
    </row>
    <row r="515">
      <c r="A515" s="57"/>
    </row>
    <row r="516">
      <c r="A516" s="57"/>
    </row>
    <row r="517">
      <c r="A517" s="57"/>
    </row>
    <row r="518">
      <c r="A518" s="57"/>
    </row>
    <row r="519">
      <c r="A519" s="57"/>
    </row>
    <row r="520">
      <c r="A520" s="57"/>
    </row>
    <row r="521">
      <c r="A521" s="57"/>
    </row>
    <row r="522">
      <c r="A522" s="57"/>
    </row>
    <row r="523">
      <c r="A523" s="57"/>
    </row>
    <row r="524">
      <c r="A524" s="57"/>
    </row>
    <row r="525">
      <c r="A525" s="57"/>
    </row>
    <row r="526">
      <c r="A526" s="57"/>
    </row>
    <row r="527">
      <c r="A527" s="57"/>
    </row>
    <row r="528">
      <c r="A528" s="57"/>
    </row>
    <row r="529">
      <c r="A529" s="57"/>
    </row>
    <row r="530">
      <c r="A530" s="57"/>
    </row>
    <row r="531">
      <c r="A531" s="57"/>
    </row>
    <row r="532">
      <c r="A532" s="57"/>
    </row>
    <row r="533">
      <c r="A533" s="57"/>
    </row>
    <row r="534">
      <c r="A534" s="57"/>
    </row>
    <row r="535">
      <c r="A535" s="57"/>
    </row>
    <row r="536">
      <c r="A536" s="57"/>
    </row>
    <row r="537">
      <c r="A537" s="57"/>
    </row>
    <row r="538">
      <c r="A538" s="57"/>
    </row>
    <row r="539">
      <c r="A539" s="57"/>
    </row>
    <row r="540">
      <c r="A540" s="57"/>
    </row>
    <row r="541">
      <c r="A541" s="57"/>
    </row>
    <row r="542">
      <c r="A542" s="57"/>
    </row>
    <row r="543">
      <c r="A543" s="57"/>
    </row>
    <row r="544">
      <c r="A544" s="57"/>
    </row>
    <row r="545">
      <c r="A545" s="57"/>
    </row>
    <row r="546">
      <c r="A546" s="57"/>
    </row>
    <row r="547">
      <c r="A547" s="57"/>
    </row>
    <row r="548">
      <c r="A548" s="57"/>
    </row>
    <row r="549">
      <c r="A549" s="57"/>
    </row>
    <row r="550">
      <c r="A550" s="57"/>
    </row>
    <row r="551">
      <c r="A551" s="57"/>
    </row>
    <row r="552">
      <c r="A552" s="57"/>
    </row>
    <row r="553">
      <c r="A553" s="57"/>
    </row>
    <row r="554">
      <c r="A554" s="57"/>
    </row>
    <row r="555">
      <c r="A555" s="57"/>
    </row>
    <row r="556">
      <c r="A556" s="57"/>
    </row>
    <row r="557">
      <c r="A557" s="57"/>
    </row>
    <row r="558">
      <c r="A558" s="57"/>
    </row>
    <row r="559">
      <c r="A559" s="57"/>
    </row>
    <row r="560">
      <c r="A560" s="57"/>
    </row>
    <row r="561">
      <c r="A561" s="57"/>
    </row>
    <row r="562">
      <c r="A562" s="57"/>
    </row>
    <row r="563">
      <c r="A563" s="57"/>
    </row>
    <row r="564">
      <c r="A564" s="57"/>
    </row>
    <row r="565">
      <c r="A565" s="57"/>
    </row>
    <row r="566">
      <c r="A566" s="57"/>
    </row>
    <row r="567">
      <c r="A567" s="57"/>
    </row>
    <row r="568">
      <c r="A568" s="57"/>
    </row>
    <row r="569">
      <c r="A569" s="57"/>
    </row>
    <row r="570">
      <c r="A570" s="57"/>
    </row>
    <row r="571">
      <c r="A571" s="57"/>
    </row>
    <row r="572">
      <c r="A572" s="57"/>
    </row>
    <row r="573">
      <c r="A573" s="57"/>
    </row>
    <row r="574">
      <c r="A574" s="57"/>
    </row>
    <row r="575">
      <c r="A575" s="57"/>
    </row>
    <row r="576">
      <c r="A576" s="57"/>
    </row>
    <row r="577">
      <c r="A577" s="57"/>
    </row>
    <row r="578">
      <c r="A578" s="57"/>
    </row>
    <row r="579">
      <c r="A579" s="57"/>
    </row>
    <row r="580">
      <c r="A580" s="57"/>
    </row>
    <row r="581">
      <c r="A581" s="57"/>
    </row>
    <row r="582">
      <c r="A582" s="57"/>
    </row>
    <row r="583">
      <c r="A583" s="57"/>
    </row>
    <row r="584">
      <c r="A584" s="57"/>
    </row>
    <row r="585">
      <c r="A585" s="57"/>
    </row>
    <row r="586">
      <c r="A586" s="57"/>
    </row>
    <row r="587">
      <c r="A587" s="57"/>
    </row>
    <row r="588">
      <c r="A588" s="57"/>
    </row>
    <row r="589">
      <c r="A589" s="57"/>
    </row>
    <row r="590">
      <c r="A590" s="57"/>
    </row>
    <row r="591">
      <c r="A591" s="57"/>
    </row>
    <row r="592">
      <c r="A592" s="57"/>
    </row>
    <row r="593">
      <c r="A593" s="57"/>
    </row>
    <row r="594">
      <c r="A594" s="57"/>
    </row>
    <row r="595">
      <c r="A595" s="57"/>
    </row>
    <row r="596">
      <c r="A596" s="57"/>
    </row>
    <row r="597">
      <c r="A597" s="57"/>
    </row>
    <row r="598">
      <c r="A598" s="57"/>
    </row>
    <row r="599">
      <c r="A599" s="57"/>
    </row>
    <row r="600">
      <c r="A600" s="57"/>
    </row>
    <row r="601">
      <c r="A601" s="57"/>
    </row>
    <row r="602">
      <c r="A602" s="57"/>
    </row>
    <row r="603">
      <c r="A603" s="57"/>
    </row>
    <row r="604">
      <c r="A604" s="57"/>
    </row>
    <row r="605">
      <c r="A605" s="57"/>
    </row>
    <row r="606">
      <c r="A606" s="57"/>
    </row>
    <row r="607">
      <c r="A607" s="57"/>
    </row>
    <row r="608">
      <c r="A608" s="57"/>
    </row>
    <row r="609">
      <c r="A609" s="57"/>
    </row>
    <row r="610">
      <c r="A610" s="57"/>
    </row>
    <row r="611">
      <c r="A611" s="57"/>
    </row>
    <row r="612">
      <c r="A612" s="57"/>
    </row>
    <row r="613">
      <c r="A613" s="57"/>
    </row>
    <row r="614">
      <c r="A614" s="57"/>
    </row>
    <row r="615">
      <c r="A615" s="57"/>
    </row>
    <row r="616">
      <c r="A616" s="57"/>
    </row>
    <row r="617">
      <c r="A617" s="57"/>
    </row>
    <row r="618">
      <c r="A618" s="57"/>
    </row>
    <row r="619">
      <c r="A619" s="57"/>
    </row>
    <row r="620">
      <c r="A620" s="57"/>
    </row>
    <row r="621">
      <c r="A621" s="57"/>
    </row>
    <row r="622">
      <c r="A622" s="57"/>
    </row>
    <row r="623">
      <c r="A623" s="57"/>
    </row>
    <row r="624">
      <c r="A624" s="57"/>
    </row>
    <row r="625">
      <c r="A625" s="57"/>
    </row>
    <row r="626">
      <c r="A626" s="57"/>
    </row>
    <row r="627">
      <c r="A627" s="57"/>
    </row>
    <row r="628">
      <c r="A628" s="57"/>
    </row>
    <row r="629">
      <c r="A629" s="57"/>
    </row>
    <row r="630">
      <c r="A630" s="57"/>
    </row>
    <row r="631">
      <c r="A631" s="57"/>
    </row>
    <row r="632">
      <c r="A632" s="57"/>
    </row>
    <row r="633">
      <c r="A633" s="57"/>
    </row>
    <row r="634">
      <c r="A634" s="57"/>
    </row>
    <row r="635">
      <c r="A635" s="57"/>
    </row>
    <row r="636">
      <c r="A636" s="57"/>
    </row>
    <row r="637">
      <c r="A637" s="57"/>
    </row>
    <row r="638">
      <c r="A638" s="57"/>
    </row>
    <row r="639">
      <c r="A639" s="57"/>
    </row>
    <row r="640">
      <c r="A640" s="57"/>
    </row>
    <row r="641">
      <c r="A641" s="57"/>
    </row>
    <row r="642">
      <c r="A642" s="57"/>
    </row>
    <row r="643">
      <c r="A643" s="57"/>
    </row>
    <row r="644">
      <c r="A644" s="57"/>
    </row>
    <row r="645">
      <c r="A645" s="57"/>
    </row>
    <row r="646">
      <c r="A646" s="57"/>
    </row>
    <row r="647">
      <c r="A647" s="57"/>
    </row>
    <row r="648">
      <c r="A648" s="57"/>
    </row>
    <row r="649">
      <c r="A649" s="57"/>
    </row>
    <row r="650">
      <c r="A650" s="57"/>
    </row>
    <row r="651">
      <c r="A651" s="57"/>
    </row>
    <row r="652">
      <c r="A652" s="57"/>
    </row>
    <row r="653">
      <c r="A653" s="57"/>
    </row>
    <row r="654">
      <c r="A654" s="57"/>
    </row>
    <row r="655">
      <c r="A655" s="57"/>
    </row>
    <row r="656">
      <c r="A656" s="57"/>
    </row>
    <row r="657">
      <c r="A657" s="57"/>
    </row>
    <row r="658">
      <c r="A658" s="57"/>
    </row>
    <row r="659">
      <c r="A659" s="57"/>
    </row>
    <row r="660">
      <c r="A660" s="57"/>
    </row>
    <row r="661">
      <c r="A661" s="57"/>
    </row>
    <row r="662">
      <c r="A662" s="57"/>
    </row>
    <row r="663">
      <c r="A663" s="57"/>
    </row>
    <row r="664">
      <c r="A664" s="57"/>
    </row>
    <row r="665">
      <c r="A665" s="57"/>
    </row>
    <row r="666">
      <c r="A666" s="57"/>
    </row>
    <row r="667">
      <c r="A667" s="57"/>
    </row>
    <row r="668">
      <c r="A668" s="57"/>
    </row>
    <row r="669">
      <c r="A669" s="57"/>
    </row>
    <row r="670">
      <c r="A670" s="57"/>
    </row>
    <row r="671">
      <c r="A671" s="57"/>
    </row>
    <row r="672">
      <c r="A672" s="57"/>
    </row>
    <row r="673">
      <c r="A673" s="57"/>
    </row>
    <row r="674">
      <c r="A674" s="57"/>
    </row>
    <row r="675">
      <c r="A675" s="57"/>
    </row>
    <row r="676">
      <c r="A676" s="57"/>
    </row>
    <row r="677">
      <c r="A677" s="57"/>
    </row>
    <row r="678">
      <c r="A678" s="57"/>
    </row>
    <row r="679">
      <c r="A679" s="57"/>
    </row>
    <row r="680">
      <c r="A680" s="57"/>
    </row>
    <row r="681">
      <c r="A681" s="57"/>
    </row>
    <row r="682">
      <c r="A682" s="57"/>
    </row>
    <row r="683">
      <c r="A683" s="57"/>
    </row>
    <row r="684">
      <c r="A684" s="57"/>
    </row>
    <row r="685">
      <c r="A685" s="57"/>
    </row>
    <row r="686">
      <c r="A686" s="57"/>
    </row>
    <row r="687">
      <c r="A687" s="57"/>
    </row>
    <row r="688">
      <c r="A688" s="57"/>
    </row>
    <row r="689">
      <c r="A689" s="57"/>
    </row>
    <row r="690">
      <c r="A690" s="57"/>
    </row>
    <row r="691">
      <c r="A691" s="57"/>
    </row>
    <row r="692">
      <c r="A692" s="57"/>
    </row>
    <row r="693">
      <c r="A693" s="57"/>
    </row>
    <row r="694">
      <c r="A694" s="57"/>
    </row>
    <row r="695">
      <c r="A695" s="57"/>
    </row>
    <row r="696">
      <c r="A696" s="57"/>
    </row>
    <row r="697">
      <c r="A697" s="57"/>
    </row>
    <row r="698">
      <c r="A698" s="57"/>
    </row>
    <row r="699">
      <c r="A699" s="57"/>
    </row>
    <row r="700">
      <c r="A700" s="57"/>
    </row>
    <row r="701">
      <c r="A701" s="57"/>
    </row>
    <row r="702">
      <c r="A702" s="57"/>
    </row>
    <row r="703">
      <c r="A703" s="57"/>
    </row>
    <row r="704">
      <c r="A704" s="57"/>
    </row>
    <row r="705">
      <c r="A705" s="57"/>
    </row>
    <row r="706">
      <c r="A706" s="57"/>
    </row>
    <row r="707">
      <c r="A707" s="57"/>
    </row>
    <row r="708">
      <c r="A708" s="57"/>
    </row>
    <row r="709">
      <c r="A709" s="57"/>
    </row>
    <row r="710">
      <c r="A710" s="57"/>
    </row>
    <row r="711">
      <c r="A711" s="57"/>
    </row>
    <row r="712">
      <c r="A712" s="57"/>
    </row>
    <row r="713">
      <c r="A713" s="57"/>
    </row>
    <row r="714">
      <c r="A714" s="57"/>
    </row>
    <row r="715">
      <c r="A715" s="57"/>
    </row>
    <row r="716">
      <c r="A716" s="57"/>
    </row>
    <row r="717">
      <c r="A717" s="57"/>
    </row>
    <row r="718">
      <c r="A718" s="57"/>
    </row>
    <row r="719">
      <c r="A719" s="57"/>
    </row>
    <row r="720">
      <c r="A720" s="57"/>
    </row>
    <row r="721">
      <c r="A721" s="57"/>
    </row>
    <row r="722">
      <c r="A722" s="57"/>
    </row>
    <row r="723">
      <c r="A723" s="57"/>
    </row>
    <row r="724">
      <c r="A724" s="57"/>
    </row>
    <row r="725">
      <c r="A725" s="57"/>
    </row>
    <row r="726">
      <c r="A726" s="57"/>
    </row>
    <row r="727">
      <c r="A727" s="57"/>
    </row>
    <row r="728">
      <c r="A728" s="57"/>
    </row>
    <row r="729">
      <c r="A729" s="57"/>
    </row>
    <row r="730">
      <c r="A730" s="57"/>
    </row>
    <row r="731">
      <c r="A731" s="57"/>
    </row>
    <row r="732">
      <c r="A732" s="57"/>
    </row>
    <row r="733">
      <c r="A733" s="57"/>
    </row>
    <row r="734">
      <c r="A734" s="57"/>
    </row>
    <row r="735">
      <c r="A735" s="57"/>
    </row>
    <row r="736">
      <c r="A736" s="57"/>
    </row>
    <row r="737">
      <c r="A737" s="57"/>
    </row>
    <row r="738">
      <c r="A738" s="57"/>
    </row>
    <row r="739">
      <c r="A739" s="57"/>
    </row>
    <row r="740">
      <c r="A740" s="57"/>
    </row>
    <row r="741">
      <c r="A741" s="57"/>
    </row>
    <row r="742">
      <c r="A742" s="57"/>
    </row>
    <row r="743">
      <c r="A743" s="57"/>
    </row>
    <row r="744">
      <c r="A744" s="57"/>
    </row>
    <row r="745">
      <c r="A745" s="57"/>
    </row>
    <row r="746">
      <c r="A746" s="57"/>
    </row>
    <row r="747">
      <c r="A747" s="57"/>
    </row>
    <row r="748">
      <c r="A748" s="57"/>
    </row>
    <row r="749">
      <c r="A749" s="57"/>
    </row>
    <row r="750">
      <c r="A750" s="57"/>
    </row>
    <row r="751">
      <c r="A751" s="57"/>
    </row>
    <row r="752">
      <c r="A752" s="57"/>
    </row>
    <row r="753">
      <c r="A753" s="57"/>
    </row>
    <row r="754">
      <c r="A754" s="57"/>
    </row>
    <row r="755">
      <c r="A755" s="57"/>
    </row>
    <row r="756">
      <c r="A756" s="57"/>
    </row>
    <row r="757">
      <c r="A757" s="57"/>
    </row>
    <row r="758">
      <c r="A758" s="57"/>
    </row>
    <row r="759">
      <c r="A759" s="57"/>
    </row>
    <row r="760">
      <c r="A760" s="57"/>
    </row>
    <row r="761">
      <c r="A761" s="57"/>
    </row>
    <row r="762">
      <c r="A762" s="57"/>
    </row>
    <row r="763">
      <c r="A763" s="57"/>
    </row>
    <row r="764">
      <c r="A764" s="57"/>
    </row>
    <row r="765">
      <c r="A765" s="57"/>
    </row>
    <row r="766">
      <c r="A766" s="57"/>
    </row>
    <row r="767">
      <c r="A767" s="57"/>
    </row>
    <row r="768">
      <c r="A768" s="57"/>
    </row>
    <row r="769">
      <c r="A769" s="57"/>
    </row>
    <row r="770">
      <c r="A770" s="57"/>
    </row>
    <row r="771">
      <c r="A771" s="57"/>
    </row>
    <row r="772">
      <c r="A772" s="57"/>
    </row>
    <row r="773">
      <c r="A773" s="57"/>
    </row>
    <row r="774">
      <c r="A774" s="57"/>
    </row>
    <row r="775">
      <c r="A775" s="57"/>
    </row>
    <row r="776">
      <c r="A776" s="57"/>
    </row>
    <row r="777">
      <c r="A777" s="57"/>
    </row>
    <row r="778">
      <c r="A778" s="57"/>
    </row>
    <row r="779">
      <c r="A779" s="57"/>
    </row>
    <row r="780">
      <c r="A780" s="57"/>
    </row>
    <row r="781">
      <c r="A781" s="57"/>
    </row>
    <row r="782">
      <c r="A782" s="57"/>
    </row>
    <row r="783">
      <c r="A783" s="57"/>
    </row>
    <row r="784">
      <c r="A784" s="57"/>
    </row>
    <row r="785">
      <c r="A785" s="57"/>
    </row>
    <row r="786">
      <c r="A786" s="57"/>
    </row>
    <row r="787">
      <c r="A787" s="57"/>
    </row>
    <row r="788">
      <c r="A788" s="57"/>
    </row>
    <row r="789">
      <c r="A789" s="57"/>
    </row>
    <row r="790">
      <c r="A790" s="57"/>
    </row>
    <row r="791">
      <c r="A791" s="57"/>
    </row>
    <row r="792">
      <c r="A792" s="57"/>
    </row>
    <row r="793">
      <c r="A793" s="57"/>
    </row>
    <row r="794">
      <c r="A794" s="57"/>
    </row>
    <row r="795">
      <c r="A795" s="57"/>
    </row>
    <row r="796">
      <c r="A796" s="57"/>
    </row>
    <row r="797">
      <c r="A797" s="57"/>
    </row>
    <row r="798">
      <c r="A798" s="57"/>
    </row>
    <row r="799">
      <c r="A799" s="57"/>
    </row>
    <row r="800">
      <c r="A800" s="57"/>
    </row>
    <row r="801">
      <c r="A801" s="57"/>
    </row>
    <row r="802">
      <c r="A802" s="57"/>
    </row>
    <row r="803">
      <c r="A803" s="57"/>
    </row>
    <row r="804">
      <c r="A804" s="57"/>
    </row>
    <row r="805">
      <c r="A805" s="57"/>
    </row>
    <row r="806">
      <c r="A806" s="57"/>
    </row>
    <row r="807">
      <c r="A807" s="57"/>
    </row>
    <row r="808">
      <c r="A808" s="57"/>
    </row>
    <row r="809">
      <c r="A809" s="57"/>
    </row>
    <row r="810">
      <c r="A810" s="57"/>
    </row>
    <row r="811">
      <c r="A811" s="57"/>
    </row>
    <row r="812">
      <c r="A812" s="57"/>
    </row>
    <row r="813">
      <c r="A813" s="57"/>
    </row>
    <row r="814">
      <c r="A814" s="57"/>
    </row>
    <row r="815">
      <c r="A815" s="57"/>
    </row>
    <row r="816">
      <c r="A816" s="57"/>
    </row>
    <row r="817">
      <c r="A817" s="57"/>
    </row>
    <row r="818">
      <c r="A818" s="57"/>
    </row>
    <row r="819">
      <c r="A819" s="57"/>
    </row>
    <row r="820">
      <c r="A820" s="57"/>
    </row>
    <row r="821">
      <c r="A821" s="57"/>
    </row>
    <row r="822">
      <c r="A822" s="57"/>
    </row>
    <row r="823">
      <c r="A823" s="57"/>
    </row>
    <row r="824">
      <c r="A824" s="57"/>
    </row>
    <row r="825">
      <c r="A825" s="57"/>
    </row>
    <row r="826">
      <c r="A826" s="57"/>
    </row>
    <row r="827">
      <c r="A827" s="57"/>
    </row>
    <row r="828">
      <c r="A828" s="57"/>
    </row>
    <row r="829">
      <c r="A829" s="57"/>
    </row>
    <row r="830">
      <c r="A830" s="57"/>
    </row>
    <row r="831">
      <c r="A831" s="57"/>
    </row>
    <row r="832">
      <c r="A832" s="57"/>
    </row>
    <row r="833">
      <c r="A833" s="57"/>
    </row>
    <row r="834">
      <c r="A834" s="57"/>
    </row>
    <row r="835">
      <c r="A835" s="57"/>
    </row>
    <row r="836">
      <c r="A836" s="57"/>
    </row>
    <row r="837">
      <c r="A837" s="57"/>
    </row>
    <row r="838">
      <c r="A838" s="57"/>
    </row>
    <row r="839">
      <c r="A839" s="57"/>
    </row>
    <row r="840">
      <c r="A840" s="57"/>
    </row>
    <row r="841">
      <c r="A841" s="57"/>
    </row>
    <row r="842">
      <c r="A842" s="57"/>
    </row>
    <row r="843">
      <c r="A843" s="57"/>
    </row>
    <row r="844">
      <c r="A844" s="57"/>
    </row>
    <row r="845">
      <c r="A845" s="57"/>
    </row>
    <row r="846">
      <c r="A846" s="57"/>
    </row>
    <row r="847">
      <c r="A847" s="57"/>
    </row>
    <row r="848">
      <c r="A848" s="57"/>
    </row>
    <row r="849">
      <c r="A849" s="57"/>
    </row>
    <row r="850">
      <c r="A850" s="57"/>
    </row>
    <row r="851">
      <c r="A851" s="57"/>
    </row>
    <row r="852">
      <c r="A852" s="57"/>
    </row>
    <row r="853">
      <c r="A853" s="57"/>
    </row>
    <row r="854">
      <c r="A854" s="57"/>
    </row>
    <row r="855">
      <c r="A855" s="57"/>
    </row>
    <row r="856">
      <c r="A856" s="57"/>
    </row>
    <row r="857">
      <c r="A857" s="57"/>
    </row>
    <row r="858">
      <c r="A858" s="57"/>
    </row>
    <row r="859">
      <c r="A859" s="57"/>
    </row>
    <row r="860">
      <c r="A860" s="57"/>
    </row>
    <row r="861">
      <c r="A861" s="57"/>
    </row>
    <row r="862">
      <c r="A862" s="57"/>
    </row>
    <row r="863">
      <c r="A863" s="57"/>
    </row>
    <row r="864">
      <c r="A864" s="57"/>
    </row>
    <row r="865">
      <c r="A865" s="57"/>
    </row>
    <row r="866">
      <c r="A866" s="57"/>
    </row>
    <row r="867">
      <c r="A867" s="57"/>
    </row>
    <row r="868">
      <c r="A868" s="57"/>
    </row>
    <row r="869">
      <c r="A869" s="57"/>
    </row>
    <row r="870">
      <c r="A870" s="57"/>
    </row>
    <row r="871">
      <c r="A871" s="57"/>
    </row>
    <row r="872">
      <c r="A872" s="57"/>
    </row>
    <row r="873">
      <c r="A873" s="57"/>
    </row>
    <row r="874">
      <c r="A874" s="57"/>
    </row>
    <row r="875">
      <c r="A875" s="57"/>
    </row>
    <row r="876">
      <c r="A876" s="57"/>
    </row>
    <row r="877">
      <c r="A877" s="57"/>
    </row>
    <row r="878">
      <c r="A878" s="57"/>
    </row>
    <row r="879">
      <c r="A879" s="57"/>
    </row>
    <row r="880">
      <c r="A880" s="57"/>
    </row>
    <row r="881">
      <c r="A881" s="57"/>
    </row>
    <row r="882">
      <c r="A882" s="57"/>
    </row>
    <row r="883">
      <c r="A883" s="57"/>
    </row>
    <row r="884">
      <c r="A884" s="57"/>
    </row>
    <row r="885">
      <c r="A885" s="57"/>
    </row>
    <row r="886">
      <c r="A886" s="57"/>
    </row>
    <row r="887">
      <c r="A887" s="57"/>
    </row>
    <row r="888">
      <c r="A888" s="57"/>
    </row>
    <row r="889">
      <c r="A889" s="57"/>
    </row>
    <row r="890">
      <c r="A890" s="57"/>
    </row>
    <row r="891">
      <c r="A891" s="57"/>
    </row>
    <row r="892">
      <c r="A892" s="57"/>
    </row>
    <row r="893">
      <c r="A893" s="57"/>
    </row>
    <row r="894">
      <c r="A894" s="57"/>
    </row>
    <row r="895">
      <c r="A895" s="57"/>
    </row>
    <row r="896">
      <c r="A896" s="57"/>
    </row>
    <row r="897">
      <c r="A897" s="57"/>
    </row>
    <row r="898">
      <c r="A898" s="57"/>
    </row>
    <row r="899">
      <c r="A899" s="57"/>
    </row>
    <row r="900">
      <c r="A900" s="57"/>
    </row>
    <row r="901">
      <c r="A901" s="57"/>
    </row>
    <row r="902">
      <c r="A902" s="57"/>
    </row>
    <row r="903">
      <c r="A903" s="57"/>
    </row>
    <row r="904">
      <c r="A904" s="57"/>
    </row>
    <row r="905">
      <c r="A905" s="57"/>
    </row>
    <row r="906">
      <c r="A906" s="57"/>
    </row>
    <row r="907">
      <c r="A907" s="57"/>
    </row>
    <row r="908">
      <c r="A908" s="57"/>
    </row>
    <row r="909">
      <c r="A909" s="57"/>
    </row>
    <row r="910">
      <c r="A910" s="57"/>
    </row>
    <row r="911">
      <c r="A911" s="57"/>
    </row>
    <row r="912">
      <c r="A912" s="57"/>
    </row>
    <row r="913">
      <c r="A913" s="57"/>
    </row>
    <row r="914">
      <c r="A914" s="57"/>
    </row>
    <row r="915">
      <c r="A915" s="57"/>
    </row>
    <row r="916">
      <c r="A916" s="57"/>
    </row>
    <row r="917">
      <c r="A917" s="57"/>
    </row>
    <row r="918">
      <c r="A918" s="57"/>
    </row>
    <row r="919">
      <c r="A919" s="57"/>
    </row>
    <row r="920">
      <c r="A920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56.63"/>
    <col customWidth="1" min="4" max="4" width="37.38"/>
    <col customWidth="1" min="5" max="5" width="21.13"/>
    <col customWidth="1" min="6" max="6" width="22.38"/>
    <col customWidth="1" min="7" max="7" width="27.38"/>
  </cols>
  <sheetData>
    <row r="1">
      <c r="A1" s="83" t="s">
        <v>365</v>
      </c>
      <c r="B1" s="83" t="s">
        <v>366</v>
      </c>
      <c r="C1" s="83" t="s">
        <v>367</v>
      </c>
      <c r="D1" s="84" t="s">
        <v>368</v>
      </c>
      <c r="E1" s="85" t="s">
        <v>369</v>
      </c>
      <c r="F1" s="15" t="s">
        <v>371</v>
      </c>
      <c r="G1" s="15" t="s">
        <v>372</v>
      </c>
      <c r="H1" s="15" t="s">
        <v>373</v>
      </c>
      <c r="I1" s="15" t="s">
        <v>374</v>
      </c>
    </row>
    <row r="2">
      <c r="A2" s="83" t="s">
        <v>81</v>
      </c>
      <c r="B2" s="83" t="s">
        <v>375</v>
      </c>
      <c r="C2" s="83" t="s">
        <v>376</v>
      </c>
      <c r="D2" s="84" t="s">
        <v>377</v>
      </c>
      <c r="E2" s="85">
        <v>0.0</v>
      </c>
      <c r="F2" s="15">
        <v>0.0</v>
      </c>
      <c r="G2" s="15" t="s">
        <v>378</v>
      </c>
      <c r="H2" s="15" t="s">
        <v>379</v>
      </c>
      <c r="I2" s="15">
        <v>7.73814242E8</v>
      </c>
    </row>
    <row r="3">
      <c r="A3" s="83" t="s">
        <v>381</v>
      </c>
      <c r="B3" s="83" t="s">
        <v>382</v>
      </c>
      <c r="C3" s="86" t="s">
        <v>383</v>
      </c>
      <c r="D3" s="84" t="s">
        <v>384</v>
      </c>
      <c r="E3" s="87" t="s">
        <v>386</v>
      </c>
      <c r="F3" s="15">
        <v>0.0</v>
      </c>
      <c r="G3" s="15" t="s">
        <v>387</v>
      </c>
      <c r="H3" s="15" t="s">
        <v>388</v>
      </c>
      <c r="I3" s="15">
        <v>7.18026569E8</v>
      </c>
    </row>
    <row r="4">
      <c r="A4" s="83" t="s">
        <v>389</v>
      </c>
      <c r="B4" s="83" t="s">
        <v>390</v>
      </c>
      <c r="C4" s="86" t="s">
        <v>383</v>
      </c>
      <c r="D4" s="84" t="s">
        <v>384</v>
      </c>
      <c r="E4" s="87" t="s">
        <v>391</v>
      </c>
      <c r="F4" s="15">
        <v>0.0</v>
      </c>
      <c r="G4" s="15" t="s">
        <v>392</v>
      </c>
      <c r="H4" s="15" t="s">
        <v>393</v>
      </c>
      <c r="I4" s="15" t="s">
        <v>394</v>
      </c>
    </row>
    <row r="5">
      <c r="A5" s="83" t="s">
        <v>395</v>
      </c>
      <c r="B5" s="83" t="s">
        <v>397</v>
      </c>
      <c r="C5" s="86" t="s">
        <v>383</v>
      </c>
      <c r="D5" s="84" t="s">
        <v>384</v>
      </c>
      <c r="E5" s="87" t="s">
        <v>398</v>
      </c>
      <c r="F5" s="15">
        <v>0.0</v>
      </c>
      <c r="G5" s="15" t="s">
        <v>399</v>
      </c>
      <c r="H5" s="15" t="s">
        <v>400</v>
      </c>
      <c r="I5" s="15">
        <v>7.19783574E8</v>
      </c>
    </row>
    <row r="6">
      <c r="A6" s="83" t="s">
        <v>401</v>
      </c>
      <c r="B6" s="83" t="s">
        <v>402</v>
      </c>
      <c r="C6" s="86" t="s">
        <v>383</v>
      </c>
      <c r="D6" s="84" t="s">
        <v>384</v>
      </c>
      <c r="E6" s="87" t="s">
        <v>403</v>
      </c>
      <c r="F6" s="15">
        <v>0.0</v>
      </c>
    </row>
    <row r="7">
      <c r="A7" s="7" t="s">
        <v>404</v>
      </c>
      <c r="B7" s="7" t="s">
        <v>405</v>
      </c>
      <c r="C7" s="86" t="s">
        <v>383</v>
      </c>
      <c r="D7" s="84" t="s">
        <v>384</v>
      </c>
      <c r="E7" s="87" t="s">
        <v>403</v>
      </c>
      <c r="F7" s="15">
        <v>0.0</v>
      </c>
      <c r="G7" s="15" t="s">
        <v>407</v>
      </c>
      <c r="H7" s="15" t="s">
        <v>408</v>
      </c>
      <c r="I7" s="15">
        <v>7.16007003E8</v>
      </c>
    </row>
    <row r="8">
      <c r="A8" s="83" t="s">
        <v>409</v>
      </c>
      <c r="B8" s="83" t="s">
        <v>410</v>
      </c>
      <c r="C8" s="86" t="s">
        <v>383</v>
      </c>
      <c r="D8" s="88" t="s">
        <v>411</v>
      </c>
      <c r="E8" s="87" t="s">
        <v>412</v>
      </c>
      <c r="F8" s="15">
        <v>0.0</v>
      </c>
    </row>
    <row r="9">
      <c r="A9" s="83" t="s">
        <v>413</v>
      </c>
      <c r="B9" s="83" t="s">
        <v>414</v>
      </c>
      <c r="C9" s="86" t="s">
        <v>383</v>
      </c>
      <c r="D9" s="84" t="s">
        <v>416</v>
      </c>
      <c r="E9" s="87" t="s">
        <v>417</v>
      </c>
      <c r="F9" s="15">
        <v>0.0</v>
      </c>
    </row>
    <row r="10">
      <c r="A10" s="83" t="s">
        <v>418</v>
      </c>
      <c r="B10" s="83" t="s">
        <v>419</v>
      </c>
      <c r="C10" s="10" t="s">
        <v>420</v>
      </c>
      <c r="D10" s="88" t="s">
        <v>421</v>
      </c>
      <c r="E10" s="89">
        <v>7.6E9</v>
      </c>
      <c r="F10" s="83" t="s">
        <v>422</v>
      </c>
      <c r="G10" s="5"/>
    </row>
    <row r="11">
      <c r="A11" s="83" t="s">
        <v>423</v>
      </c>
      <c r="B11" s="83" t="s">
        <v>424</v>
      </c>
      <c r="C11" s="10" t="s">
        <v>425</v>
      </c>
      <c r="D11" s="88" t="s">
        <v>427</v>
      </c>
      <c r="E11" s="89">
        <v>2.0E7</v>
      </c>
      <c r="F11" s="83" t="s">
        <v>428</v>
      </c>
      <c r="G11" s="7" t="s">
        <v>429</v>
      </c>
      <c r="H11" s="15" t="s">
        <v>430</v>
      </c>
      <c r="I11" s="15">
        <v>7.15849449E8</v>
      </c>
    </row>
    <row r="12">
      <c r="A12" s="83" t="s">
        <v>431</v>
      </c>
      <c r="B12" s="83" t="s">
        <v>432</v>
      </c>
      <c r="C12" s="10" t="s">
        <v>433</v>
      </c>
      <c r="D12" s="88" t="s">
        <v>434</v>
      </c>
      <c r="E12" s="89">
        <v>3.0E7</v>
      </c>
      <c r="F12" s="83" t="s">
        <v>435</v>
      </c>
      <c r="G12" s="5"/>
    </row>
    <row r="13">
      <c r="A13" s="5" t="s">
        <v>436</v>
      </c>
      <c r="B13" s="5" t="s">
        <v>437</v>
      </c>
      <c r="C13" s="10" t="s">
        <v>438</v>
      </c>
      <c r="D13" s="88" t="s">
        <v>439</v>
      </c>
      <c r="E13" s="89">
        <v>3.1E8</v>
      </c>
      <c r="F13" s="83" t="s">
        <v>441</v>
      </c>
      <c r="G13" s="5"/>
    </row>
    <row r="14">
      <c r="A14" s="5" t="s">
        <v>442</v>
      </c>
      <c r="B14" s="5" t="s">
        <v>443</v>
      </c>
      <c r="C14" s="10" t="s">
        <v>444</v>
      </c>
      <c r="D14" s="88" t="s">
        <v>445</v>
      </c>
      <c r="E14" s="89">
        <v>1.675E7</v>
      </c>
      <c r="F14" s="83" t="s">
        <v>446</v>
      </c>
      <c r="G14" s="5"/>
    </row>
    <row r="15">
      <c r="A15" s="5" t="s">
        <v>447</v>
      </c>
      <c r="B15" s="5" t="s">
        <v>448</v>
      </c>
      <c r="C15" s="10" t="s">
        <v>449</v>
      </c>
      <c r="D15" s="88" t="s">
        <v>450</v>
      </c>
      <c r="E15" s="89">
        <v>1.2E7</v>
      </c>
      <c r="F15" s="83" t="s">
        <v>451</v>
      </c>
      <c r="G15" s="5"/>
    </row>
    <row r="16">
      <c r="A16" s="5" t="s">
        <v>452</v>
      </c>
      <c r="B16" s="5" t="s">
        <v>453</v>
      </c>
      <c r="C16" s="10" t="s">
        <v>454</v>
      </c>
      <c r="D16" s="88" t="s">
        <v>455</v>
      </c>
      <c r="E16" s="89">
        <v>1.5E7</v>
      </c>
      <c r="F16" s="83" t="s">
        <v>456</v>
      </c>
      <c r="G16" s="5"/>
    </row>
    <row r="17">
      <c r="A17" s="5" t="s">
        <v>457</v>
      </c>
      <c r="B17" s="5" t="s">
        <v>458</v>
      </c>
      <c r="C17" s="10" t="s">
        <v>459</v>
      </c>
      <c r="D17" s="88" t="s">
        <v>460</v>
      </c>
      <c r="E17" s="89">
        <v>6500000.0</v>
      </c>
      <c r="F17" s="83" t="s">
        <v>461</v>
      </c>
      <c r="G17" s="5"/>
    </row>
    <row r="18">
      <c r="A18" s="5" t="s">
        <v>462</v>
      </c>
      <c r="B18" s="5" t="s">
        <v>463</v>
      </c>
      <c r="C18" s="10" t="s">
        <v>464</v>
      </c>
      <c r="D18" s="88" t="s">
        <v>465</v>
      </c>
      <c r="E18" s="89">
        <v>1.2575E7</v>
      </c>
      <c r="F18" s="83" t="s">
        <v>466</v>
      </c>
      <c r="G18" s="7"/>
    </row>
    <row r="19">
      <c r="A19" s="5" t="s">
        <v>467</v>
      </c>
      <c r="B19" s="5" t="s">
        <v>468</v>
      </c>
      <c r="C19" s="10" t="s">
        <v>469</v>
      </c>
      <c r="D19" s="88" t="s">
        <v>471</v>
      </c>
      <c r="E19" s="89">
        <v>1200000.0</v>
      </c>
      <c r="F19" s="83" t="s">
        <v>472</v>
      </c>
      <c r="G19" s="5"/>
    </row>
    <row r="20">
      <c r="A20" s="5" t="s">
        <v>473</v>
      </c>
      <c r="B20" s="5" t="s">
        <v>474</v>
      </c>
      <c r="C20" s="10" t="s">
        <v>475</v>
      </c>
      <c r="D20" s="88" t="s">
        <v>476</v>
      </c>
      <c r="E20" s="89">
        <v>8000000.0</v>
      </c>
      <c r="F20" s="83" t="s">
        <v>152</v>
      </c>
    </row>
    <row r="21">
      <c r="A21" s="5" t="s">
        <v>477</v>
      </c>
      <c r="B21" s="5" t="s">
        <v>478</v>
      </c>
      <c r="C21" s="10" t="s">
        <v>479</v>
      </c>
      <c r="D21" s="88" t="s">
        <v>480</v>
      </c>
      <c r="E21" s="89">
        <v>1.0E7</v>
      </c>
      <c r="F21" s="83" t="s">
        <v>158</v>
      </c>
    </row>
    <row r="22">
      <c r="A22" s="7" t="s">
        <v>482</v>
      </c>
      <c r="B22" s="5" t="s">
        <v>483</v>
      </c>
      <c r="C22" s="10" t="s">
        <v>484</v>
      </c>
      <c r="D22" s="90" t="s">
        <v>485</v>
      </c>
      <c r="E22" s="89">
        <v>7.825E7</v>
      </c>
      <c r="F22" s="83" t="s">
        <v>25</v>
      </c>
    </row>
    <row r="23">
      <c r="A23" s="7" t="s">
        <v>40</v>
      </c>
      <c r="B23" s="5" t="s">
        <v>487</v>
      </c>
      <c r="C23" s="10" t="s">
        <v>488</v>
      </c>
      <c r="D23" s="88" t="s">
        <v>489</v>
      </c>
      <c r="E23" s="89">
        <v>1500000.0</v>
      </c>
      <c r="F23" s="83" t="s">
        <v>25</v>
      </c>
      <c r="G23" s="15" t="s">
        <v>490</v>
      </c>
      <c r="H23" s="15" t="s">
        <v>491</v>
      </c>
      <c r="I23" s="15">
        <v>7.6908941E8</v>
      </c>
      <c r="L23" s="64" t="s">
        <v>485</v>
      </c>
    </row>
    <row r="24">
      <c r="A24" s="5" t="s">
        <v>492</v>
      </c>
      <c r="B24" s="5" t="s">
        <v>493</v>
      </c>
      <c r="C24" s="10" t="s">
        <v>494</v>
      </c>
      <c r="D24" s="88" t="s">
        <v>495</v>
      </c>
      <c r="E24" s="89">
        <v>3000000.0</v>
      </c>
      <c r="F24" s="83" t="s">
        <v>25</v>
      </c>
      <c r="L24" s="91" t="s">
        <v>308</v>
      </c>
    </row>
    <row r="25">
      <c r="A25" s="5" t="s">
        <v>136</v>
      </c>
      <c r="B25" s="5" t="s">
        <v>496</v>
      </c>
      <c r="C25" s="10" t="s">
        <v>497</v>
      </c>
      <c r="D25" s="92" t="s">
        <v>137</v>
      </c>
      <c r="E25" s="89">
        <v>1800000.0</v>
      </c>
      <c r="F25" s="83" t="s">
        <v>25</v>
      </c>
      <c r="G25" s="15" t="s">
        <v>500</v>
      </c>
      <c r="H25" s="15" t="s">
        <v>501</v>
      </c>
      <c r="I25" s="15">
        <v>7.55768615E8</v>
      </c>
    </row>
    <row r="26">
      <c r="A26" s="5" t="s">
        <v>502</v>
      </c>
      <c r="B26" s="5" t="s">
        <v>503</v>
      </c>
      <c r="C26" s="10" t="s">
        <v>504</v>
      </c>
      <c r="D26" s="92" t="s">
        <v>59</v>
      </c>
      <c r="E26" s="89">
        <v>2300000.0</v>
      </c>
      <c r="F26" s="83" t="s">
        <v>25</v>
      </c>
      <c r="G26" s="15" t="s">
        <v>378</v>
      </c>
      <c r="H26" s="15" t="s">
        <v>379</v>
      </c>
      <c r="I26" s="15">
        <v>7.73814242E8</v>
      </c>
    </row>
    <row r="27">
      <c r="A27" s="5" t="s">
        <v>300</v>
      </c>
      <c r="B27" s="5" t="s">
        <v>505</v>
      </c>
      <c r="C27" s="10" t="s">
        <v>506</v>
      </c>
      <c r="D27" s="92" t="s">
        <v>218</v>
      </c>
      <c r="E27" s="89">
        <v>1800000.0</v>
      </c>
      <c r="F27" s="83" t="s">
        <v>25</v>
      </c>
      <c r="G27" s="15" t="s">
        <v>507</v>
      </c>
      <c r="H27" s="15" t="s">
        <v>501</v>
      </c>
      <c r="I27" s="15">
        <v>7.41693703E8</v>
      </c>
    </row>
    <row r="28">
      <c r="A28" s="5" t="s">
        <v>21</v>
      </c>
      <c r="B28" s="94" t="s">
        <v>508</v>
      </c>
      <c r="C28" s="10" t="s">
        <v>509</v>
      </c>
      <c r="D28" s="92" t="s">
        <v>510</v>
      </c>
      <c r="E28" s="89">
        <v>1800000.0</v>
      </c>
      <c r="F28" s="83" t="s">
        <v>25</v>
      </c>
      <c r="G28" s="15" t="s">
        <v>511</v>
      </c>
      <c r="H28" s="15" t="s">
        <v>501</v>
      </c>
      <c r="I28" s="15">
        <v>7.7307195E8</v>
      </c>
    </row>
    <row r="29">
      <c r="A29" s="5" t="s">
        <v>512</v>
      </c>
      <c r="B29" s="5" t="s">
        <v>513</v>
      </c>
      <c r="C29" s="10" t="s">
        <v>514</v>
      </c>
      <c r="D29" s="92" t="s">
        <v>224</v>
      </c>
      <c r="E29" s="89">
        <v>1800000.0</v>
      </c>
      <c r="F29" s="83" t="s">
        <v>25</v>
      </c>
    </row>
    <row r="30">
      <c r="A30" s="5" t="s">
        <v>157</v>
      </c>
      <c r="B30" s="5" t="s">
        <v>515</v>
      </c>
      <c r="C30" s="10" t="s">
        <v>516</v>
      </c>
      <c r="D30" s="92" t="s">
        <v>159</v>
      </c>
      <c r="E30" s="89">
        <v>1800000.0</v>
      </c>
      <c r="F30" s="83" t="s">
        <v>25</v>
      </c>
      <c r="G30" s="15" t="s">
        <v>517</v>
      </c>
      <c r="H30" s="15" t="s">
        <v>518</v>
      </c>
      <c r="I30" s="15">
        <v>7.02606183E8</v>
      </c>
    </row>
    <row r="31">
      <c r="A31" s="5" t="s">
        <v>519</v>
      </c>
      <c r="B31" s="5" t="s">
        <v>520</v>
      </c>
      <c r="C31" s="10" t="s">
        <v>521</v>
      </c>
      <c r="D31" s="92" t="s">
        <v>232</v>
      </c>
      <c r="E31" s="89">
        <v>1000000.0</v>
      </c>
      <c r="F31" s="83" t="s">
        <v>25</v>
      </c>
      <c r="G31" s="15" t="s">
        <v>522</v>
      </c>
      <c r="H31" s="15" t="s">
        <v>523</v>
      </c>
      <c r="I31" s="15">
        <v>7.11965818E8</v>
      </c>
    </row>
    <row r="32">
      <c r="A32" s="5" t="s">
        <v>524</v>
      </c>
      <c r="B32" s="5" t="s">
        <v>525</v>
      </c>
      <c r="C32" s="10" t="s">
        <v>526</v>
      </c>
      <c r="D32" s="92" t="s">
        <v>235</v>
      </c>
      <c r="E32" s="89">
        <v>700000.0</v>
      </c>
      <c r="F32" s="83" t="s">
        <v>25</v>
      </c>
      <c r="G32" s="15" t="s">
        <v>527</v>
      </c>
      <c r="H32" s="15" t="s">
        <v>501</v>
      </c>
      <c r="I32" s="15">
        <v>7.12849564E8</v>
      </c>
    </row>
    <row r="33">
      <c r="A33" s="5" t="s">
        <v>528</v>
      </c>
      <c r="B33" s="5" t="s">
        <v>529</v>
      </c>
      <c r="C33" s="10" t="s">
        <v>531</v>
      </c>
      <c r="D33" s="92" t="s">
        <v>240</v>
      </c>
      <c r="E33" s="89">
        <v>1000000.0</v>
      </c>
      <c r="F33" s="83" t="s">
        <v>25</v>
      </c>
    </row>
    <row r="34">
      <c r="A34" s="5" t="s">
        <v>532</v>
      </c>
      <c r="B34" s="5" t="s">
        <v>533</v>
      </c>
      <c r="C34" s="7" t="s">
        <v>534</v>
      </c>
      <c r="D34" s="92" t="s">
        <v>244</v>
      </c>
      <c r="E34" s="89">
        <v>500000.0</v>
      </c>
      <c r="F34" s="83" t="s">
        <v>25</v>
      </c>
    </row>
    <row r="35">
      <c r="A35" s="5" t="s">
        <v>535</v>
      </c>
      <c r="B35" s="5" t="s">
        <v>536</v>
      </c>
      <c r="C35" s="7" t="s">
        <v>537</v>
      </c>
      <c r="D35" s="92" t="s">
        <v>249</v>
      </c>
      <c r="E35" s="89">
        <v>500000.0</v>
      </c>
      <c r="F35" s="83" t="s">
        <v>25</v>
      </c>
    </row>
    <row r="36">
      <c r="A36" s="5" t="s">
        <v>539</v>
      </c>
      <c r="B36" s="5" t="s">
        <v>540</v>
      </c>
      <c r="C36" s="7" t="s">
        <v>541</v>
      </c>
      <c r="D36" s="92" t="s">
        <v>254</v>
      </c>
      <c r="E36" s="89">
        <v>500000.0</v>
      </c>
      <c r="F36" s="83" t="s">
        <v>25</v>
      </c>
    </row>
    <row r="37">
      <c r="A37" s="5" t="s">
        <v>542</v>
      </c>
      <c r="B37" s="5" t="s">
        <v>543</v>
      </c>
      <c r="C37" s="7" t="s">
        <v>544</v>
      </c>
      <c r="D37" s="92" t="s">
        <v>259</v>
      </c>
      <c r="E37" s="89">
        <v>500000.0</v>
      </c>
      <c r="F37" s="83" t="s">
        <v>25</v>
      </c>
    </row>
    <row r="38">
      <c r="A38" s="5" t="s">
        <v>545</v>
      </c>
      <c r="B38" s="5" t="s">
        <v>546</v>
      </c>
      <c r="C38" s="7" t="s">
        <v>547</v>
      </c>
      <c r="D38" s="92" t="s">
        <v>264</v>
      </c>
      <c r="E38" s="89">
        <v>1000000.0</v>
      </c>
      <c r="F38" s="83" t="s">
        <v>25</v>
      </c>
    </row>
    <row r="39">
      <c r="A39" s="5" t="s">
        <v>549</v>
      </c>
      <c r="B39" s="5" t="s">
        <v>550</v>
      </c>
      <c r="C39" s="7" t="s">
        <v>551</v>
      </c>
      <c r="D39" s="92" t="s">
        <v>269</v>
      </c>
      <c r="E39" s="89">
        <v>500000.0</v>
      </c>
      <c r="F39" s="83" t="s">
        <v>25</v>
      </c>
    </row>
    <row r="40">
      <c r="A40" s="5" t="s">
        <v>552</v>
      </c>
      <c r="B40" s="5" t="s">
        <v>553</v>
      </c>
      <c r="C40" s="7" t="s">
        <v>554</v>
      </c>
      <c r="D40" s="92" t="s">
        <v>272</v>
      </c>
      <c r="E40" s="89">
        <v>1500000.0</v>
      </c>
      <c r="F40" s="83" t="s">
        <v>25</v>
      </c>
    </row>
    <row r="41">
      <c r="A41" s="5" t="s">
        <v>555</v>
      </c>
      <c r="B41" s="5" t="s">
        <v>556</v>
      </c>
      <c r="C41" s="7" t="s">
        <v>557</v>
      </c>
      <c r="D41" s="92" t="s">
        <v>274</v>
      </c>
      <c r="E41" s="89">
        <v>2000000.0</v>
      </c>
      <c r="F41" s="83" t="s">
        <v>25</v>
      </c>
    </row>
    <row r="42">
      <c r="A42" s="5" t="s">
        <v>559</v>
      </c>
      <c r="B42" s="5" t="s">
        <v>560</v>
      </c>
      <c r="C42" s="7" t="s">
        <v>561</v>
      </c>
      <c r="D42" s="92" t="s">
        <v>54</v>
      </c>
      <c r="E42" s="89">
        <v>1000000.0</v>
      </c>
      <c r="F42" s="83" t="s">
        <v>25</v>
      </c>
    </row>
    <row r="43">
      <c r="A43" s="5" t="s">
        <v>562</v>
      </c>
      <c r="B43" s="5" t="s">
        <v>563</v>
      </c>
      <c r="C43" s="7" t="s">
        <v>564</v>
      </c>
      <c r="D43" s="92" t="s">
        <v>279</v>
      </c>
      <c r="E43" s="89">
        <v>1000000.0</v>
      </c>
      <c r="F43" s="83" t="s">
        <v>25</v>
      </c>
    </row>
    <row r="44">
      <c r="A44" s="5" t="s">
        <v>565</v>
      </c>
      <c r="B44" s="5" t="s">
        <v>566</v>
      </c>
      <c r="C44" s="7" t="s">
        <v>567</v>
      </c>
      <c r="D44" s="92" t="s">
        <v>283</v>
      </c>
      <c r="E44" s="89">
        <v>1000000.0</v>
      </c>
      <c r="F44" s="83" t="s">
        <v>25</v>
      </c>
    </row>
    <row r="45">
      <c r="A45" s="5" t="s">
        <v>569</v>
      </c>
      <c r="B45" s="5" t="s">
        <v>570</v>
      </c>
      <c r="C45" s="7" t="s">
        <v>571</v>
      </c>
      <c r="D45" s="92" t="s">
        <v>285</v>
      </c>
      <c r="E45" s="89">
        <v>1000000.0</v>
      </c>
      <c r="F45" s="83" t="s">
        <v>25</v>
      </c>
    </row>
    <row r="46">
      <c r="A46" s="7" t="s">
        <v>36</v>
      </c>
      <c r="B46" s="7" t="s">
        <v>572</v>
      </c>
      <c r="C46" s="7" t="s">
        <v>573</v>
      </c>
      <c r="D46" s="92" t="s">
        <v>574</v>
      </c>
      <c r="E46" s="89">
        <v>6500000.0</v>
      </c>
      <c r="F46" s="83" t="s">
        <v>25</v>
      </c>
      <c r="G46" s="15" t="s">
        <v>575</v>
      </c>
      <c r="H46" s="15" t="s">
        <v>501</v>
      </c>
      <c r="I46" s="15">
        <v>7.196792E8</v>
      </c>
    </row>
    <row r="47">
      <c r="A47" s="5" t="s">
        <v>576</v>
      </c>
      <c r="B47" s="5" t="s">
        <v>577</v>
      </c>
      <c r="C47" s="7" t="s">
        <v>578</v>
      </c>
      <c r="D47" s="92" t="s">
        <v>579</v>
      </c>
      <c r="E47" s="89">
        <v>1000000.0</v>
      </c>
      <c r="F47" s="83" t="s">
        <v>25</v>
      </c>
      <c r="G47" s="15" t="s">
        <v>429</v>
      </c>
      <c r="H47" s="15" t="s">
        <v>430</v>
      </c>
      <c r="I47" s="15">
        <v>7.15849449E8</v>
      </c>
    </row>
    <row r="48">
      <c r="A48" s="5" t="s">
        <v>581</v>
      </c>
      <c r="B48" s="5" t="s">
        <v>582</v>
      </c>
      <c r="C48" s="7" t="s">
        <v>583</v>
      </c>
      <c r="D48" s="92" t="s">
        <v>584</v>
      </c>
      <c r="E48" s="89"/>
      <c r="F48" s="83" t="s">
        <v>25</v>
      </c>
    </row>
    <row r="49">
      <c r="A49" s="5" t="s">
        <v>585</v>
      </c>
      <c r="B49" s="5" t="s">
        <v>586</v>
      </c>
      <c r="C49" s="7" t="s">
        <v>587</v>
      </c>
      <c r="D49" s="92" t="s">
        <v>588</v>
      </c>
      <c r="E49" s="89"/>
      <c r="F49" s="83" t="s">
        <v>25</v>
      </c>
    </row>
    <row r="50">
      <c r="A50" s="5" t="s">
        <v>234</v>
      </c>
      <c r="B50" s="5" t="s">
        <v>590</v>
      </c>
      <c r="C50" s="7" t="s">
        <v>591</v>
      </c>
      <c r="D50" s="92" t="s">
        <v>592</v>
      </c>
      <c r="E50" s="89"/>
      <c r="F50" s="83" t="s">
        <v>25</v>
      </c>
      <c r="G50" s="15" t="s">
        <v>593</v>
      </c>
      <c r="H50" s="15" t="s">
        <v>594</v>
      </c>
      <c r="I50" s="15">
        <v>7.18180978E8</v>
      </c>
    </row>
    <row r="51">
      <c r="A51" s="5" t="s">
        <v>119</v>
      </c>
      <c r="B51" s="5" t="s">
        <v>595</v>
      </c>
      <c r="C51" s="7" t="s">
        <v>596</v>
      </c>
      <c r="D51" s="92" t="s">
        <v>597</v>
      </c>
      <c r="E51" s="89"/>
      <c r="F51" s="83" t="s">
        <v>25</v>
      </c>
      <c r="G51" s="15" t="s">
        <v>598</v>
      </c>
      <c r="H51" s="15" t="s">
        <v>599</v>
      </c>
      <c r="I51" s="15">
        <v>7.19085307E8</v>
      </c>
    </row>
    <row r="52">
      <c r="A52" s="5" t="s">
        <v>601</v>
      </c>
      <c r="B52" s="5" t="s">
        <v>602</v>
      </c>
      <c r="C52" s="7" t="s">
        <v>603</v>
      </c>
      <c r="D52" s="92" t="s">
        <v>604</v>
      </c>
      <c r="E52" s="89"/>
      <c r="F52" s="83" t="s">
        <v>25</v>
      </c>
    </row>
    <row r="53">
      <c r="A53" s="5" t="s">
        <v>605</v>
      </c>
      <c r="B53" s="5" t="s">
        <v>606</v>
      </c>
      <c r="C53" s="7" t="s">
        <v>607</v>
      </c>
      <c r="D53" s="92" t="s">
        <v>608</v>
      </c>
      <c r="E53" s="89"/>
      <c r="F53" s="83" t="s">
        <v>25</v>
      </c>
    </row>
    <row r="54">
      <c r="A54" s="5" t="s">
        <v>609</v>
      </c>
      <c r="B54" s="5" t="s">
        <v>610</v>
      </c>
      <c r="C54" s="7" t="s">
        <v>611</v>
      </c>
      <c r="D54" s="92" t="s">
        <v>612</v>
      </c>
      <c r="E54" s="89"/>
      <c r="F54" s="83" t="s">
        <v>25</v>
      </c>
      <c r="G54" s="15" t="s">
        <v>613</v>
      </c>
      <c r="H54" s="15" t="s">
        <v>614</v>
      </c>
      <c r="I54" s="15">
        <v>7.13619278E8</v>
      </c>
    </row>
    <row r="55">
      <c r="A55" s="5" t="s">
        <v>318</v>
      </c>
      <c r="B55" s="5" t="s">
        <v>616</v>
      </c>
      <c r="C55" s="15" t="s">
        <v>617</v>
      </c>
      <c r="D55" s="92" t="s">
        <v>579</v>
      </c>
      <c r="E55" s="89">
        <v>4500000.0</v>
      </c>
      <c r="F55" s="83" t="s">
        <v>25</v>
      </c>
      <c r="G55" s="15" t="s">
        <v>618</v>
      </c>
      <c r="H55" s="15" t="s">
        <v>619</v>
      </c>
      <c r="I55" s="15">
        <v>7.14475016E8</v>
      </c>
    </row>
    <row r="56">
      <c r="A56" s="5" t="s">
        <v>620</v>
      </c>
      <c r="B56" s="5" t="s">
        <v>621</v>
      </c>
      <c r="C56" s="15" t="s">
        <v>622</v>
      </c>
      <c r="D56" s="92" t="s">
        <v>584</v>
      </c>
      <c r="E56" s="89">
        <v>4500000.0</v>
      </c>
      <c r="F56" s="83" t="s">
        <v>25</v>
      </c>
      <c r="G56" s="15" t="s">
        <v>623</v>
      </c>
      <c r="H56" s="15" t="s">
        <v>614</v>
      </c>
      <c r="I56" s="15">
        <v>7.15850522E8</v>
      </c>
    </row>
    <row r="57">
      <c r="A57" s="5" t="s">
        <v>625</v>
      </c>
      <c r="B57" s="5" t="s">
        <v>626</v>
      </c>
      <c r="C57" s="15" t="s">
        <v>627</v>
      </c>
      <c r="D57" s="92" t="s">
        <v>588</v>
      </c>
      <c r="E57" s="89">
        <v>4500000.0</v>
      </c>
      <c r="F57" s="83" t="s">
        <v>25</v>
      </c>
    </row>
    <row r="58">
      <c r="A58" s="5" t="s">
        <v>45</v>
      </c>
      <c r="B58" s="5" t="s">
        <v>628</v>
      </c>
      <c r="C58" s="15" t="s">
        <v>629</v>
      </c>
      <c r="D58" s="92" t="s">
        <v>592</v>
      </c>
      <c r="E58" s="89">
        <v>2500000.0</v>
      </c>
      <c r="F58" s="83" t="s">
        <v>25</v>
      </c>
      <c r="G58" s="15" t="s">
        <v>630</v>
      </c>
      <c r="H58" s="15" t="s">
        <v>599</v>
      </c>
      <c r="I58" s="15">
        <v>7.11403589E8</v>
      </c>
    </row>
    <row r="59">
      <c r="A59" s="5" t="s">
        <v>632</v>
      </c>
      <c r="B59" s="5" t="s">
        <v>633</v>
      </c>
      <c r="C59" s="15" t="s">
        <v>634</v>
      </c>
      <c r="D59" s="92" t="s">
        <v>597</v>
      </c>
      <c r="E59" s="89">
        <v>4000000.0</v>
      </c>
      <c r="F59" s="83" t="s">
        <v>25</v>
      </c>
      <c r="G59" s="15" t="s">
        <v>635</v>
      </c>
      <c r="H59" s="15" t="s">
        <v>636</v>
      </c>
      <c r="I59" s="15">
        <v>7.14394165E8</v>
      </c>
    </row>
    <row r="60">
      <c r="A60" s="5" t="s">
        <v>637</v>
      </c>
      <c r="B60" s="5" t="s">
        <v>638</v>
      </c>
      <c r="C60" s="15" t="s">
        <v>639</v>
      </c>
      <c r="D60" s="92" t="s">
        <v>604</v>
      </c>
      <c r="E60" s="89">
        <v>4500000.0</v>
      </c>
      <c r="F60" s="83" t="s">
        <v>25</v>
      </c>
      <c r="G60" s="15"/>
    </row>
    <row r="61">
      <c r="A61" s="5" t="s">
        <v>141</v>
      </c>
      <c r="B61" s="5" t="s">
        <v>640</v>
      </c>
      <c r="C61" s="15" t="s">
        <v>642</v>
      </c>
      <c r="D61" s="92" t="s">
        <v>608</v>
      </c>
      <c r="E61" s="89">
        <v>4500000.0</v>
      </c>
      <c r="F61" s="83" t="s">
        <v>25</v>
      </c>
      <c r="G61" s="15" t="s">
        <v>643</v>
      </c>
      <c r="H61" s="15" t="s">
        <v>614</v>
      </c>
      <c r="I61" s="15">
        <v>7.18580281E8</v>
      </c>
    </row>
    <row r="62">
      <c r="A62" s="5" t="s">
        <v>246</v>
      </c>
      <c r="B62" s="5" t="s">
        <v>644</v>
      </c>
      <c r="C62" s="15" t="s">
        <v>645</v>
      </c>
      <c r="D62" s="92" t="s">
        <v>612</v>
      </c>
      <c r="E62" s="89">
        <v>4500000.0</v>
      </c>
      <c r="F62" s="83" t="s">
        <v>25</v>
      </c>
      <c r="G62" s="15" t="s">
        <v>646</v>
      </c>
      <c r="H62" s="15" t="s">
        <v>599</v>
      </c>
      <c r="I62" s="15">
        <v>7.84559252E8</v>
      </c>
    </row>
    <row r="63">
      <c r="D63" s="57"/>
      <c r="E63" s="95"/>
      <c r="F63" s="96"/>
    </row>
    <row r="64">
      <c r="D64" s="57"/>
      <c r="E64" s="95"/>
      <c r="F64" s="96"/>
    </row>
    <row r="65">
      <c r="D65" s="57"/>
      <c r="E65" s="95"/>
      <c r="F65" s="96"/>
    </row>
    <row r="66">
      <c r="D66" s="57"/>
      <c r="E66" s="95"/>
      <c r="F66" s="96"/>
    </row>
    <row r="67">
      <c r="D67" s="57"/>
      <c r="E67" s="95"/>
      <c r="F67" s="96"/>
    </row>
    <row r="68">
      <c r="D68" s="57"/>
      <c r="E68" s="95"/>
      <c r="F68" s="96"/>
    </row>
    <row r="69">
      <c r="D69" s="57"/>
      <c r="E69" s="95"/>
      <c r="F69" s="96"/>
    </row>
    <row r="70">
      <c r="D70" s="57"/>
      <c r="E70" s="95"/>
      <c r="F70" s="96"/>
    </row>
    <row r="71">
      <c r="D71" s="57"/>
      <c r="E71" s="95"/>
      <c r="F71" s="96"/>
    </row>
    <row r="72">
      <c r="D72" s="57"/>
      <c r="E72" s="95"/>
      <c r="F72" s="96"/>
    </row>
    <row r="73">
      <c r="D73" s="57"/>
      <c r="E73" s="95"/>
      <c r="F73" s="96"/>
    </row>
    <row r="74">
      <c r="D74" s="57"/>
      <c r="E74" s="95"/>
      <c r="F74" s="96"/>
    </row>
    <row r="75">
      <c r="D75" s="57"/>
      <c r="E75" s="95"/>
      <c r="F75" s="96"/>
    </row>
    <row r="76">
      <c r="D76" s="57"/>
      <c r="E76" s="95"/>
      <c r="F76" s="96"/>
    </row>
    <row r="77">
      <c r="D77" s="57"/>
      <c r="E77" s="95"/>
      <c r="F77" s="96"/>
    </row>
    <row r="78">
      <c r="D78" s="57"/>
      <c r="E78" s="95"/>
      <c r="F78" s="96"/>
    </row>
    <row r="79">
      <c r="D79" s="57"/>
      <c r="E79" s="95"/>
      <c r="F79" s="96"/>
    </row>
    <row r="80">
      <c r="D80" s="57"/>
      <c r="E80" s="95"/>
      <c r="F80" s="96"/>
    </row>
    <row r="81">
      <c r="D81" s="57"/>
      <c r="E81" s="95"/>
      <c r="F81" s="96"/>
    </row>
    <row r="82">
      <c r="D82" s="57"/>
      <c r="E82" s="95"/>
      <c r="F82" s="96"/>
    </row>
    <row r="83">
      <c r="D83" s="57"/>
      <c r="E83" s="95"/>
      <c r="F83" s="96"/>
    </row>
    <row r="84">
      <c r="D84" s="57"/>
      <c r="E84" s="95"/>
      <c r="F84" s="96"/>
    </row>
    <row r="85">
      <c r="D85" s="57"/>
      <c r="E85" s="95"/>
      <c r="F85" s="96"/>
    </row>
    <row r="86">
      <c r="D86" s="57"/>
      <c r="E86" s="95"/>
      <c r="F86" s="96"/>
    </row>
    <row r="87">
      <c r="D87" s="57"/>
      <c r="E87" s="95"/>
      <c r="F87" s="96"/>
    </row>
    <row r="88">
      <c r="D88" s="57"/>
      <c r="E88" s="95"/>
      <c r="F88" s="96"/>
    </row>
    <row r="89">
      <c r="D89" s="57"/>
      <c r="E89" s="95"/>
      <c r="F89" s="96"/>
    </row>
    <row r="90">
      <c r="D90" s="57"/>
      <c r="E90" s="95"/>
      <c r="F90" s="96"/>
    </row>
    <row r="91">
      <c r="D91" s="57"/>
      <c r="E91" s="95"/>
      <c r="F91" s="96"/>
    </row>
    <row r="92">
      <c r="D92" s="57"/>
      <c r="E92" s="95"/>
      <c r="F92" s="96"/>
    </row>
    <row r="93">
      <c r="D93" s="57"/>
      <c r="E93" s="95"/>
      <c r="F93" s="96"/>
    </row>
    <row r="94">
      <c r="D94" s="57"/>
      <c r="E94" s="95"/>
      <c r="F94" s="96"/>
    </row>
    <row r="95">
      <c r="D95" s="57"/>
      <c r="E95" s="95"/>
      <c r="F95" s="96"/>
    </row>
    <row r="96">
      <c r="D96" s="57"/>
      <c r="E96" s="95"/>
      <c r="F96" s="96"/>
    </row>
    <row r="97">
      <c r="D97" s="57"/>
      <c r="E97" s="95"/>
      <c r="F97" s="96"/>
    </row>
    <row r="98">
      <c r="D98" s="57"/>
      <c r="E98" s="95"/>
      <c r="F98" s="96"/>
    </row>
    <row r="99">
      <c r="D99" s="57"/>
      <c r="E99" s="95"/>
      <c r="F99" s="96"/>
    </row>
    <row r="100">
      <c r="D100" s="57"/>
      <c r="E100" s="95"/>
      <c r="F100" s="96"/>
    </row>
    <row r="101">
      <c r="D101" s="57"/>
      <c r="E101" s="95"/>
      <c r="F101" s="96"/>
    </row>
    <row r="102">
      <c r="D102" s="57"/>
      <c r="E102" s="95"/>
      <c r="F102" s="96"/>
    </row>
    <row r="103">
      <c r="D103" s="57"/>
      <c r="E103" s="95"/>
      <c r="F103" s="96"/>
    </row>
    <row r="104">
      <c r="D104" s="57"/>
      <c r="E104" s="95"/>
      <c r="F104" s="96"/>
    </row>
    <row r="105">
      <c r="D105" s="57"/>
      <c r="E105" s="95"/>
      <c r="F105" s="96"/>
    </row>
    <row r="106">
      <c r="D106" s="57"/>
      <c r="E106" s="95"/>
      <c r="F106" s="96"/>
    </row>
    <row r="107">
      <c r="D107" s="57"/>
      <c r="E107" s="95"/>
      <c r="F107" s="96"/>
    </row>
    <row r="108">
      <c r="D108" s="57"/>
      <c r="E108" s="95"/>
      <c r="F108" s="96"/>
    </row>
    <row r="109">
      <c r="D109" s="57"/>
      <c r="E109" s="95"/>
      <c r="F109" s="96"/>
    </row>
    <row r="110">
      <c r="D110" s="57"/>
      <c r="E110" s="95"/>
      <c r="F110" s="96"/>
    </row>
    <row r="111">
      <c r="D111" s="57"/>
      <c r="E111" s="95"/>
      <c r="F111" s="96"/>
    </row>
    <row r="112">
      <c r="D112" s="57"/>
      <c r="E112" s="95"/>
      <c r="F112" s="96"/>
    </row>
    <row r="113">
      <c r="D113" s="57"/>
      <c r="E113" s="95"/>
      <c r="F113" s="96"/>
    </row>
    <row r="114">
      <c r="D114" s="57"/>
      <c r="E114" s="95"/>
      <c r="F114" s="96"/>
    </row>
    <row r="115">
      <c r="D115" s="57"/>
      <c r="E115" s="95"/>
      <c r="F115" s="96"/>
    </row>
    <row r="116">
      <c r="D116" s="57"/>
      <c r="E116" s="95"/>
      <c r="F116" s="96"/>
    </row>
    <row r="117">
      <c r="D117" s="57"/>
      <c r="E117" s="95"/>
      <c r="F117" s="96"/>
    </row>
    <row r="118">
      <c r="D118" s="57"/>
      <c r="E118" s="95"/>
      <c r="F118" s="96"/>
    </row>
    <row r="119">
      <c r="D119" s="57"/>
      <c r="E119" s="95"/>
      <c r="F119" s="96"/>
    </row>
    <row r="120">
      <c r="D120" s="57"/>
      <c r="E120" s="95"/>
      <c r="F120" s="96"/>
    </row>
    <row r="121">
      <c r="D121" s="57"/>
      <c r="E121" s="95"/>
      <c r="F121" s="96"/>
    </row>
    <row r="122">
      <c r="D122" s="57"/>
      <c r="E122" s="95"/>
      <c r="F122" s="96"/>
    </row>
    <row r="123">
      <c r="D123" s="57"/>
      <c r="E123" s="95"/>
      <c r="F123" s="96"/>
    </row>
    <row r="124">
      <c r="D124" s="57"/>
      <c r="E124" s="95"/>
      <c r="F124" s="96"/>
    </row>
    <row r="125">
      <c r="D125" s="57"/>
      <c r="E125" s="95"/>
      <c r="F125" s="96"/>
    </row>
    <row r="126">
      <c r="D126" s="57"/>
      <c r="E126" s="95"/>
      <c r="F126" s="96"/>
    </row>
    <row r="127">
      <c r="D127" s="57"/>
      <c r="E127" s="95"/>
      <c r="F127" s="96"/>
    </row>
    <row r="128">
      <c r="D128" s="57"/>
      <c r="E128" s="95"/>
      <c r="F128" s="96"/>
    </row>
    <row r="129">
      <c r="D129" s="57"/>
      <c r="E129" s="95"/>
      <c r="F129" s="96"/>
    </row>
    <row r="130">
      <c r="D130" s="57"/>
      <c r="E130" s="95"/>
      <c r="F130" s="96"/>
    </row>
    <row r="131">
      <c r="D131" s="57"/>
      <c r="E131" s="95"/>
      <c r="F131" s="96"/>
    </row>
    <row r="132">
      <c r="D132" s="57"/>
      <c r="E132" s="95"/>
      <c r="F132" s="96"/>
    </row>
    <row r="133">
      <c r="D133" s="57"/>
      <c r="E133" s="95"/>
      <c r="F133" s="96"/>
    </row>
    <row r="134">
      <c r="D134" s="57"/>
      <c r="E134" s="95"/>
      <c r="F134" s="96"/>
    </row>
    <row r="135">
      <c r="D135" s="57"/>
      <c r="E135" s="95"/>
      <c r="F135" s="96"/>
    </row>
    <row r="136">
      <c r="D136" s="57"/>
      <c r="E136" s="95"/>
      <c r="F136" s="96"/>
    </row>
    <row r="137">
      <c r="D137" s="57"/>
      <c r="E137" s="95"/>
      <c r="F137" s="96"/>
    </row>
    <row r="138">
      <c r="D138" s="57"/>
      <c r="E138" s="95"/>
      <c r="F138" s="96"/>
    </row>
    <row r="139">
      <c r="D139" s="57"/>
      <c r="E139" s="95"/>
      <c r="F139" s="96"/>
    </row>
    <row r="140">
      <c r="D140" s="57"/>
      <c r="E140" s="95"/>
      <c r="F140" s="96"/>
    </row>
    <row r="141">
      <c r="D141" s="57"/>
      <c r="E141" s="95"/>
      <c r="F141" s="96"/>
    </row>
    <row r="142">
      <c r="D142" s="57"/>
      <c r="E142" s="95"/>
      <c r="F142" s="96"/>
    </row>
    <row r="143">
      <c r="D143" s="57"/>
      <c r="E143" s="95"/>
      <c r="F143" s="96"/>
    </row>
    <row r="144">
      <c r="D144" s="57"/>
      <c r="E144" s="95"/>
      <c r="F144" s="96"/>
    </row>
    <row r="145">
      <c r="D145" s="57"/>
      <c r="E145" s="95"/>
      <c r="F145" s="96"/>
    </row>
    <row r="146">
      <c r="D146" s="57"/>
      <c r="E146" s="95"/>
      <c r="F146" s="96"/>
    </row>
    <row r="147">
      <c r="D147" s="57"/>
      <c r="E147" s="95"/>
      <c r="F147" s="96"/>
    </row>
    <row r="148">
      <c r="D148" s="57"/>
      <c r="E148" s="95"/>
      <c r="F148" s="96"/>
    </row>
    <row r="149">
      <c r="D149" s="57"/>
      <c r="E149" s="95"/>
      <c r="F149" s="96"/>
    </row>
    <row r="150">
      <c r="D150" s="57"/>
      <c r="E150" s="95"/>
      <c r="F150" s="96"/>
    </row>
    <row r="151">
      <c r="D151" s="57"/>
      <c r="E151" s="95"/>
      <c r="F151" s="96"/>
    </row>
    <row r="152">
      <c r="D152" s="57"/>
      <c r="E152" s="95"/>
      <c r="F152" s="96"/>
    </row>
    <row r="153">
      <c r="D153" s="57"/>
      <c r="E153" s="95"/>
      <c r="F153" s="96"/>
    </row>
    <row r="154">
      <c r="D154" s="57"/>
      <c r="E154" s="95"/>
      <c r="F154" s="96"/>
    </row>
    <row r="155">
      <c r="D155" s="57"/>
      <c r="E155" s="95"/>
      <c r="F155" s="96"/>
    </row>
    <row r="156">
      <c r="D156" s="57"/>
      <c r="E156" s="95"/>
      <c r="F156" s="96"/>
    </row>
    <row r="157">
      <c r="D157" s="57"/>
      <c r="E157" s="95"/>
      <c r="F157" s="96"/>
    </row>
    <row r="158">
      <c r="D158" s="57"/>
      <c r="E158" s="95"/>
      <c r="F158" s="96"/>
    </row>
    <row r="159">
      <c r="D159" s="57"/>
      <c r="E159" s="95"/>
      <c r="F159" s="96"/>
    </row>
    <row r="160">
      <c r="D160" s="57"/>
      <c r="E160" s="95"/>
      <c r="F160" s="96"/>
    </row>
    <row r="161">
      <c r="D161" s="57"/>
      <c r="E161" s="95"/>
      <c r="F161" s="96"/>
    </row>
    <row r="162">
      <c r="D162" s="57"/>
      <c r="E162" s="95"/>
      <c r="F162" s="96"/>
    </row>
    <row r="163">
      <c r="D163" s="57"/>
      <c r="E163" s="95"/>
      <c r="F163" s="96"/>
    </row>
    <row r="164">
      <c r="D164" s="57"/>
      <c r="E164" s="95"/>
      <c r="F164" s="96"/>
    </row>
    <row r="165">
      <c r="D165" s="57"/>
      <c r="E165" s="95"/>
      <c r="F165" s="96"/>
    </row>
    <row r="166">
      <c r="D166" s="57"/>
      <c r="E166" s="95"/>
      <c r="F166" s="96"/>
    </row>
    <row r="167">
      <c r="D167" s="57"/>
      <c r="E167" s="95"/>
      <c r="F167" s="96"/>
    </row>
    <row r="168">
      <c r="D168" s="57"/>
      <c r="E168" s="95"/>
      <c r="F168" s="96"/>
    </row>
    <row r="169">
      <c r="D169" s="57"/>
      <c r="E169" s="95"/>
      <c r="F169" s="96"/>
    </row>
    <row r="170">
      <c r="D170" s="57"/>
      <c r="E170" s="95"/>
      <c r="F170" s="96"/>
    </row>
    <row r="171">
      <c r="D171" s="57"/>
      <c r="E171" s="95"/>
      <c r="F171" s="96"/>
    </row>
    <row r="172">
      <c r="D172" s="57"/>
      <c r="E172" s="95"/>
      <c r="F172" s="96"/>
    </row>
    <row r="173">
      <c r="D173" s="57"/>
      <c r="E173" s="95"/>
      <c r="F173" s="96"/>
    </row>
    <row r="174">
      <c r="D174" s="57"/>
      <c r="E174" s="95"/>
      <c r="F174" s="96"/>
    </row>
    <row r="175">
      <c r="D175" s="57"/>
      <c r="E175" s="95"/>
      <c r="F175" s="96"/>
    </row>
    <row r="176">
      <c r="D176" s="57"/>
      <c r="E176" s="95"/>
      <c r="F176" s="96"/>
    </row>
    <row r="177">
      <c r="D177" s="57"/>
      <c r="E177" s="95"/>
      <c r="F177" s="96"/>
    </row>
    <row r="178">
      <c r="D178" s="57"/>
      <c r="E178" s="95"/>
      <c r="F178" s="96"/>
    </row>
    <row r="179">
      <c r="D179" s="57"/>
      <c r="E179" s="95"/>
      <c r="F179" s="96"/>
    </row>
    <row r="180">
      <c r="D180" s="57"/>
      <c r="E180" s="95"/>
      <c r="F180" s="96"/>
    </row>
    <row r="181">
      <c r="D181" s="57"/>
      <c r="E181" s="95"/>
      <c r="F181" s="96"/>
    </row>
    <row r="182">
      <c r="D182" s="57"/>
      <c r="E182" s="95"/>
      <c r="F182" s="96"/>
    </row>
    <row r="183">
      <c r="D183" s="57"/>
      <c r="E183" s="95"/>
      <c r="F183" s="96"/>
    </row>
    <row r="184">
      <c r="D184" s="57"/>
      <c r="E184" s="95"/>
      <c r="F184" s="96"/>
    </row>
    <row r="185">
      <c r="D185" s="57"/>
      <c r="E185" s="95"/>
      <c r="F185" s="96"/>
    </row>
    <row r="186">
      <c r="D186" s="57"/>
      <c r="E186" s="95"/>
      <c r="F186" s="96"/>
    </row>
    <row r="187">
      <c r="D187" s="57"/>
      <c r="E187" s="95"/>
      <c r="F187" s="96"/>
    </row>
    <row r="188">
      <c r="D188" s="57"/>
      <c r="E188" s="95"/>
      <c r="F188" s="96"/>
    </row>
    <row r="189">
      <c r="D189" s="57"/>
      <c r="E189" s="95"/>
      <c r="F189" s="96"/>
    </row>
    <row r="190">
      <c r="D190" s="57"/>
      <c r="E190" s="95"/>
      <c r="F190" s="96"/>
    </row>
    <row r="191">
      <c r="D191" s="57"/>
      <c r="E191" s="95"/>
      <c r="F191" s="96"/>
    </row>
    <row r="192">
      <c r="D192" s="57"/>
      <c r="E192" s="95"/>
      <c r="F192" s="96"/>
    </row>
    <row r="193">
      <c r="D193" s="57"/>
      <c r="E193" s="95"/>
      <c r="F193" s="96"/>
    </row>
    <row r="194">
      <c r="D194" s="57"/>
      <c r="E194" s="95"/>
      <c r="F194" s="96"/>
    </row>
    <row r="195">
      <c r="D195" s="57"/>
      <c r="E195" s="95"/>
      <c r="F195" s="96"/>
    </row>
    <row r="196">
      <c r="D196" s="57"/>
      <c r="E196" s="95"/>
      <c r="F196" s="96"/>
    </row>
    <row r="197">
      <c r="D197" s="57"/>
      <c r="E197" s="95"/>
      <c r="F197" s="96"/>
    </row>
    <row r="198">
      <c r="D198" s="57"/>
      <c r="E198" s="95"/>
      <c r="F198" s="96"/>
    </row>
    <row r="199">
      <c r="D199" s="57"/>
      <c r="E199" s="95"/>
      <c r="F199" s="96"/>
    </row>
    <row r="200">
      <c r="D200" s="57"/>
      <c r="E200" s="95"/>
      <c r="F200" s="96"/>
    </row>
    <row r="201">
      <c r="D201" s="57"/>
      <c r="E201" s="95"/>
      <c r="F201" s="96"/>
    </row>
    <row r="202">
      <c r="D202" s="57"/>
      <c r="E202" s="95"/>
      <c r="F202" s="96"/>
    </row>
    <row r="203">
      <c r="D203" s="57"/>
      <c r="E203" s="95"/>
      <c r="F203" s="96"/>
    </row>
    <row r="204">
      <c r="D204" s="57"/>
      <c r="E204" s="95"/>
      <c r="F204" s="96"/>
    </row>
    <row r="205">
      <c r="D205" s="57"/>
      <c r="E205" s="95"/>
      <c r="F205" s="96"/>
    </row>
    <row r="206">
      <c r="D206" s="57"/>
      <c r="E206" s="95"/>
      <c r="F206" s="96"/>
    </row>
    <row r="207">
      <c r="D207" s="57"/>
      <c r="E207" s="95"/>
      <c r="F207" s="96"/>
    </row>
    <row r="208">
      <c r="D208" s="57"/>
      <c r="E208" s="95"/>
      <c r="F208" s="96"/>
    </row>
    <row r="209">
      <c r="D209" s="57"/>
      <c r="E209" s="95"/>
      <c r="F209" s="96"/>
    </row>
    <row r="210">
      <c r="D210" s="57"/>
      <c r="E210" s="95"/>
      <c r="F210" s="96"/>
    </row>
    <row r="211">
      <c r="D211" s="57"/>
      <c r="E211" s="95"/>
      <c r="F211" s="96"/>
    </row>
    <row r="212">
      <c r="D212" s="57"/>
      <c r="E212" s="95"/>
      <c r="F212" s="96"/>
    </row>
    <row r="213">
      <c r="D213" s="57"/>
      <c r="E213" s="95"/>
      <c r="F213" s="96"/>
    </row>
    <row r="214">
      <c r="D214" s="57"/>
      <c r="E214" s="95"/>
      <c r="F214" s="96"/>
    </row>
    <row r="215">
      <c r="D215" s="57"/>
      <c r="E215" s="95"/>
      <c r="F215" s="96"/>
    </row>
    <row r="216">
      <c r="D216" s="57"/>
      <c r="E216" s="95"/>
      <c r="F216" s="96"/>
    </row>
    <row r="217">
      <c r="D217" s="57"/>
      <c r="E217" s="95"/>
      <c r="F217" s="96"/>
    </row>
    <row r="218">
      <c r="D218" s="57"/>
      <c r="E218" s="95"/>
      <c r="F218" s="96"/>
    </row>
    <row r="219">
      <c r="D219" s="57"/>
      <c r="E219" s="95"/>
      <c r="F219" s="96"/>
    </row>
    <row r="220">
      <c r="D220" s="57"/>
      <c r="E220" s="95"/>
      <c r="F220" s="96"/>
    </row>
    <row r="221">
      <c r="D221" s="57"/>
      <c r="E221" s="95"/>
      <c r="F221" s="96"/>
    </row>
    <row r="222">
      <c r="D222" s="57"/>
      <c r="E222" s="95"/>
      <c r="F222" s="96"/>
    </row>
    <row r="223">
      <c r="D223" s="57"/>
      <c r="E223" s="95"/>
      <c r="F223" s="96"/>
    </row>
    <row r="224">
      <c r="D224" s="57"/>
      <c r="E224" s="95"/>
      <c r="F224" s="96"/>
    </row>
    <row r="225">
      <c r="D225" s="57"/>
      <c r="E225" s="95"/>
      <c r="F225" s="96"/>
    </row>
    <row r="226">
      <c r="D226" s="57"/>
      <c r="E226" s="95"/>
      <c r="F226" s="96"/>
    </row>
    <row r="227">
      <c r="D227" s="57"/>
      <c r="E227" s="95"/>
      <c r="F227" s="96"/>
    </row>
    <row r="228">
      <c r="D228" s="57"/>
      <c r="E228" s="95"/>
      <c r="F228" s="96"/>
    </row>
    <row r="229">
      <c r="D229" s="57"/>
      <c r="E229" s="95"/>
      <c r="F229" s="96"/>
    </row>
    <row r="230">
      <c r="D230" s="57"/>
      <c r="E230" s="95"/>
      <c r="F230" s="96"/>
    </row>
    <row r="231">
      <c r="D231" s="57"/>
      <c r="E231" s="95"/>
      <c r="F231" s="96"/>
    </row>
    <row r="232">
      <c r="D232" s="57"/>
      <c r="E232" s="95"/>
      <c r="F232" s="96"/>
    </row>
    <row r="233">
      <c r="D233" s="57"/>
      <c r="E233" s="95"/>
      <c r="F233" s="96"/>
    </row>
    <row r="234">
      <c r="D234" s="57"/>
      <c r="E234" s="95"/>
      <c r="F234" s="96"/>
    </row>
    <row r="235">
      <c r="D235" s="57"/>
      <c r="E235" s="95"/>
      <c r="F235" s="96"/>
    </row>
    <row r="236">
      <c r="D236" s="57"/>
      <c r="E236" s="95"/>
      <c r="F236" s="96"/>
    </row>
    <row r="237">
      <c r="D237" s="57"/>
      <c r="E237" s="95"/>
      <c r="F237" s="96"/>
    </row>
    <row r="238">
      <c r="D238" s="57"/>
      <c r="E238" s="95"/>
      <c r="F238" s="96"/>
    </row>
    <row r="239">
      <c r="D239" s="57"/>
      <c r="E239" s="95"/>
      <c r="F239" s="96"/>
    </row>
    <row r="240">
      <c r="D240" s="57"/>
      <c r="E240" s="95"/>
      <c r="F240" s="96"/>
    </row>
    <row r="241">
      <c r="D241" s="57"/>
      <c r="E241" s="95"/>
      <c r="F241" s="96"/>
    </row>
    <row r="242">
      <c r="D242" s="57"/>
      <c r="E242" s="95"/>
      <c r="F242" s="96"/>
    </row>
    <row r="243">
      <c r="D243" s="57"/>
      <c r="E243" s="95"/>
      <c r="F243" s="96"/>
    </row>
    <row r="244">
      <c r="D244" s="57"/>
      <c r="E244" s="95"/>
      <c r="F244" s="96"/>
    </row>
    <row r="245">
      <c r="D245" s="57"/>
      <c r="E245" s="95"/>
      <c r="F245" s="96"/>
    </row>
    <row r="246">
      <c r="D246" s="57"/>
      <c r="E246" s="95"/>
      <c r="F246" s="96"/>
    </row>
    <row r="247">
      <c r="D247" s="57"/>
      <c r="E247" s="95"/>
      <c r="F247" s="96"/>
    </row>
    <row r="248">
      <c r="D248" s="57"/>
      <c r="E248" s="95"/>
      <c r="F248" s="96"/>
    </row>
    <row r="249">
      <c r="D249" s="57"/>
      <c r="E249" s="95"/>
      <c r="F249" s="96"/>
    </row>
    <row r="250">
      <c r="D250" s="57"/>
      <c r="E250" s="95"/>
      <c r="F250" s="96"/>
    </row>
    <row r="251">
      <c r="D251" s="57"/>
      <c r="E251" s="95"/>
      <c r="F251" s="96"/>
    </row>
    <row r="252">
      <c r="D252" s="57"/>
      <c r="E252" s="95"/>
      <c r="F252" s="96"/>
    </row>
    <row r="253">
      <c r="D253" s="57"/>
      <c r="E253" s="95"/>
      <c r="F253" s="96"/>
    </row>
    <row r="254">
      <c r="D254" s="57"/>
      <c r="E254" s="95"/>
      <c r="F254" s="96"/>
    </row>
    <row r="255">
      <c r="D255" s="57"/>
      <c r="E255" s="95"/>
      <c r="F255" s="96"/>
    </row>
    <row r="256">
      <c r="D256" s="57"/>
      <c r="E256" s="95"/>
      <c r="F256" s="96"/>
    </row>
    <row r="257">
      <c r="D257" s="57"/>
      <c r="E257" s="95"/>
      <c r="F257" s="96"/>
    </row>
    <row r="258">
      <c r="D258" s="57"/>
      <c r="E258" s="95"/>
      <c r="F258" s="96"/>
    </row>
    <row r="259">
      <c r="D259" s="57"/>
      <c r="E259" s="95"/>
      <c r="F259" s="96"/>
    </row>
    <row r="260">
      <c r="D260" s="57"/>
      <c r="E260" s="95"/>
      <c r="F260" s="96"/>
    </row>
    <row r="261">
      <c r="D261" s="57"/>
      <c r="E261" s="95"/>
      <c r="F261" s="96"/>
    </row>
    <row r="262">
      <c r="D262" s="57"/>
      <c r="E262" s="95"/>
      <c r="F262" s="96"/>
    </row>
    <row r="263">
      <c r="D263" s="57"/>
      <c r="E263" s="95"/>
      <c r="F263" s="96"/>
    </row>
    <row r="264">
      <c r="D264" s="57"/>
      <c r="E264" s="95"/>
      <c r="F264" s="96"/>
    </row>
    <row r="265">
      <c r="D265" s="57"/>
      <c r="E265" s="95"/>
      <c r="F265" s="96"/>
    </row>
    <row r="266">
      <c r="D266" s="57"/>
      <c r="E266" s="95"/>
      <c r="F266" s="96"/>
    </row>
    <row r="267">
      <c r="D267" s="57"/>
      <c r="E267" s="95"/>
      <c r="F267" s="96"/>
    </row>
    <row r="268">
      <c r="D268" s="57"/>
      <c r="E268" s="95"/>
      <c r="F268" s="96"/>
    </row>
    <row r="269">
      <c r="D269" s="57"/>
      <c r="E269" s="95"/>
      <c r="F269" s="96"/>
    </row>
    <row r="270">
      <c r="D270" s="57"/>
      <c r="E270" s="95"/>
      <c r="F270" s="96"/>
    </row>
    <row r="271">
      <c r="D271" s="57"/>
      <c r="E271" s="95"/>
      <c r="F271" s="96"/>
    </row>
    <row r="272">
      <c r="D272" s="57"/>
      <c r="E272" s="95"/>
      <c r="F272" s="96"/>
    </row>
    <row r="273">
      <c r="D273" s="57"/>
      <c r="E273" s="95"/>
      <c r="F273" s="96"/>
    </row>
    <row r="274">
      <c r="D274" s="57"/>
      <c r="E274" s="95"/>
      <c r="F274" s="96"/>
    </row>
    <row r="275">
      <c r="D275" s="57"/>
      <c r="E275" s="95"/>
      <c r="F275" s="96"/>
    </row>
    <row r="276">
      <c r="D276" s="57"/>
      <c r="E276" s="95"/>
      <c r="F276" s="96"/>
    </row>
    <row r="277">
      <c r="D277" s="57"/>
      <c r="E277" s="95"/>
      <c r="F277" s="96"/>
    </row>
    <row r="278">
      <c r="D278" s="57"/>
      <c r="E278" s="95"/>
      <c r="F278" s="96"/>
    </row>
    <row r="279">
      <c r="D279" s="57"/>
      <c r="E279" s="95"/>
      <c r="F279" s="96"/>
    </row>
    <row r="280">
      <c r="D280" s="57"/>
      <c r="E280" s="95"/>
      <c r="F280" s="96"/>
    </row>
    <row r="281">
      <c r="D281" s="57"/>
      <c r="E281" s="95"/>
      <c r="F281" s="96"/>
    </row>
    <row r="282">
      <c r="D282" s="57"/>
      <c r="E282" s="95"/>
      <c r="F282" s="96"/>
    </row>
    <row r="283">
      <c r="D283" s="57"/>
      <c r="E283" s="95"/>
      <c r="F283" s="96"/>
    </row>
    <row r="284">
      <c r="D284" s="57"/>
      <c r="E284" s="95"/>
      <c r="F284" s="96"/>
    </row>
    <row r="285">
      <c r="D285" s="57"/>
      <c r="E285" s="95"/>
      <c r="F285" s="96"/>
    </row>
    <row r="286">
      <c r="D286" s="57"/>
      <c r="E286" s="95"/>
      <c r="F286" s="96"/>
    </row>
    <row r="287">
      <c r="D287" s="57"/>
      <c r="E287" s="95"/>
      <c r="F287" s="96"/>
    </row>
    <row r="288">
      <c r="D288" s="57"/>
      <c r="E288" s="95"/>
      <c r="F288" s="96"/>
    </row>
    <row r="289">
      <c r="D289" s="57"/>
      <c r="E289" s="95"/>
      <c r="F289" s="96"/>
    </row>
    <row r="290">
      <c r="D290" s="57"/>
      <c r="E290" s="95"/>
      <c r="F290" s="96"/>
    </row>
    <row r="291">
      <c r="D291" s="57"/>
      <c r="E291" s="95"/>
      <c r="F291" s="96"/>
    </row>
    <row r="292">
      <c r="D292" s="57"/>
      <c r="E292" s="95"/>
      <c r="F292" s="96"/>
    </row>
    <row r="293">
      <c r="D293" s="57"/>
      <c r="E293" s="95"/>
      <c r="F293" s="96"/>
    </row>
    <row r="294">
      <c r="D294" s="57"/>
      <c r="E294" s="95"/>
      <c r="F294" s="96"/>
    </row>
    <row r="295">
      <c r="D295" s="57"/>
      <c r="E295" s="95"/>
      <c r="F295" s="96"/>
    </row>
    <row r="296">
      <c r="D296" s="57"/>
      <c r="E296" s="95"/>
      <c r="F296" s="96"/>
    </row>
    <row r="297">
      <c r="D297" s="57"/>
      <c r="E297" s="95"/>
      <c r="F297" s="96"/>
    </row>
    <row r="298">
      <c r="D298" s="57"/>
      <c r="E298" s="95"/>
      <c r="F298" s="96"/>
    </row>
    <row r="299">
      <c r="D299" s="57"/>
      <c r="E299" s="95"/>
      <c r="F299" s="96"/>
    </row>
    <row r="300">
      <c r="D300" s="57"/>
      <c r="E300" s="95"/>
      <c r="F300" s="96"/>
    </row>
    <row r="301">
      <c r="D301" s="57"/>
      <c r="E301" s="95"/>
      <c r="F301" s="96"/>
    </row>
    <row r="302">
      <c r="D302" s="57"/>
      <c r="E302" s="95"/>
      <c r="F302" s="96"/>
    </row>
    <row r="303">
      <c r="D303" s="57"/>
      <c r="E303" s="95"/>
      <c r="F303" s="96"/>
    </row>
    <row r="304">
      <c r="D304" s="57"/>
      <c r="E304" s="95"/>
      <c r="F304" s="96"/>
    </row>
    <row r="305">
      <c r="D305" s="57"/>
      <c r="E305" s="95"/>
      <c r="F305" s="96"/>
    </row>
    <row r="306">
      <c r="D306" s="57"/>
      <c r="E306" s="95"/>
      <c r="F306" s="96"/>
    </row>
    <row r="307">
      <c r="D307" s="57"/>
      <c r="E307" s="95"/>
      <c r="F307" s="96"/>
    </row>
    <row r="308">
      <c r="D308" s="57"/>
      <c r="E308" s="95"/>
      <c r="F308" s="96"/>
    </row>
    <row r="309">
      <c r="D309" s="57"/>
      <c r="E309" s="95"/>
      <c r="F309" s="96"/>
    </row>
    <row r="310">
      <c r="D310" s="57"/>
      <c r="E310" s="95"/>
      <c r="F310" s="96"/>
    </row>
    <row r="311">
      <c r="D311" s="57"/>
      <c r="E311" s="95"/>
      <c r="F311" s="96"/>
    </row>
    <row r="312">
      <c r="D312" s="57"/>
      <c r="E312" s="95"/>
      <c r="F312" s="96"/>
    </row>
    <row r="313">
      <c r="D313" s="57"/>
      <c r="E313" s="95"/>
      <c r="F313" s="96"/>
    </row>
    <row r="314">
      <c r="D314" s="57"/>
      <c r="E314" s="95"/>
      <c r="F314" s="96"/>
    </row>
    <row r="315">
      <c r="D315" s="57"/>
      <c r="E315" s="95"/>
      <c r="F315" s="96"/>
    </row>
    <row r="316">
      <c r="D316" s="57"/>
      <c r="E316" s="95"/>
      <c r="F316" s="96"/>
    </row>
    <row r="317">
      <c r="D317" s="57"/>
      <c r="E317" s="95"/>
      <c r="F317" s="96"/>
    </row>
    <row r="318">
      <c r="D318" s="57"/>
      <c r="E318" s="95"/>
      <c r="F318" s="96"/>
    </row>
    <row r="319">
      <c r="D319" s="57"/>
      <c r="E319" s="95"/>
      <c r="F319" s="96"/>
    </row>
    <row r="320">
      <c r="D320" s="57"/>
      <c r="E320" s="95"/>
      <c r="F320" s="96"/>
    </row>
    <row r="321">
      <c r="D321" s="57"/>
      <c r="E321" s="95"/>
      <c r="F321" s="96"/>
    </row>
    <row r="322">
      <c r="D322" s="57"/>
      <c r="E322" s="95"/>
      <c r="F322" s="96"/>
    </row>
    <row r="323">
      <c r="D323" s="57"/>
      <c r="E323" s="95"/>
      <c r="F323" s="96"/>
    </row>
    <row r="324">
      <c r="D324" s="57"/>
      <c r="E324" s="95"/>
      <c r="F324" s="96"/>
    </row>
    <row r="325">
      <c r="D325" s="57"/>
      <c r="E325" s="95"/>
      <c r="F325" s="96"/>
    </row>
    <row r="326">
      <c r="D326" s="57"/>
      <c r="E326" s="95"/>
      <c r="F326" s="96"/>
    </row>
    <row r="327">
      <c r="D327" s="57"/>
      <c r="E327" s="95"/>
      <c r="F327" s="96"/>
    </row>
    <row r="328">
      <c r="D328" s="57"/>
      <c r="E328" s="95"/>
      <c r="F328" s="96"/>
    </row>
    <row r="329">
      <c r="D329" s="57"/>
      <c r="E329" s="95"/>
      <c r="F329" s="96"/>
    </row>
    <row r="330">
      <c r="D330" s="57"/>
      <c r="E330" s="95"/>
      <c r="F330" s="96"/>
    </row>
    <row r="331">
      <c r="D331" s="57"/>
      <c r="E331" s="95"/>
      <c r="F331" s="96"/>
    </row>
    <row r="332">
      <c r="D332" s="57"/>
      <c r="E332" s="95"/>
      <c r="F332" s="96"/>
    </row>
    <row r="333">
      <c r="D333" s="57"/>
      <c r="E333" s="95"/>
      <c r="F333" s="96"/>
    </row>
    <row r="334">
      <c r="D334" s="57"/>
      <c r="E334" s="95"/>
      <c r="F334" s="96"/>
    </row>
    <row r="335">
      <c r="D335" s="57"/>
      <c r="E335" s="95"/>
      <c r="F335" s="96"/>
    </row>
    <row r="336">
      <c r="D336" s="57"/>
      <c r="E336" s="95"/>
      <c r="F336" s="96"/>
    </row>
    <row r="337">
      <c r="D337" s="57"/>
      <c r="E337" s="95"/>
      <c r="F337" s="96"/>
    </row>
    <row r="338">
      <c r="D338" s="57"/>
      <c r="E338" s="95"/>
      <c r="F338" s="96"/>
    </row>
    <row r="339">
      <c r="D339" s="57"/>
      <c r="E339" s="95"/>
      <c r="F339" s="96"/>
    </row>
    <row r="340">
      <c r="D340" s="57"/>
      <c r="E340" s="95"/>
      <c r="F340" s="96"/>
    </row>
    <row r="341">
      <c r="D341" s="57"/>
      <c r="E341" s="95"/>
      <c r="F341" s="96"/>
    </row>
    <row r="342">
      <c r="D342" s="57"/>
      <c r="E342" s="95"/>
      <c r="F342" s="96"/>
    </row>
    <row r="343">
      <c r="D343" s="57"/>
      <c r="E343" s="95"/>
      <c r="F343" s="96"/>
    </row>
    <row r="344">
      <c r="D344" s="57"/>
      <c r="E344" s="95"/>
      <c r="F344" s="96"/>
    </row>
    <row r="345">
      <c r="D345" s="57"/>
      <c r="E345" s="95"/>
      <c r="F345" s="96"/>
    </row>
    <row r="346">
      <c r="D346" s="57"/>
      <c r="E346" s="95"/>
      <c r="F346" s="96"/>
    </row>
    <row r="347">
      <c r="D347" s="57"/>
      <c r="E347" s="95"/>
      <c r="F347" s="96"/>
    </row>
    <row r="348">
      <c r="D348" s="57"/>
      <c r="E348" s="95"/>
      <c r="F348" s="96"/>
    </row>
    <row r="349">
      <c r="D349" s="57"/>
      <c r="E349" s="95"/>
      <c r="F349" s="96"/>
    </row>
    <row r="350">
      <c r="D350" s="57"/>
      <c r="E350" s="95"/>
      <c r="F350" s="96"/>
    </row>
    <row r="351">
      <c r="D351" s="57"/>
      <c r="E351" s="95"/>
      <c r="F351" s="96"/>
    </row>
    <row r="352">
      <c r="D352" s="57"/>
      <c r="E352" s="95"/>
      <c r="F352" s="96"/>
    </row>
    <row r="353">
      <c r="D353" s="57"/>
      <c r="E353" s="95"/>
      <c r="F353" s="96"/>
    </row>
    <row r="354">
      <c r="D354" s="57"/>
      <c r="E354" s="95"/>
      <c r="F354" s="96"/>
    </row>
    <row r="355">
      <c r="D355" s="57"/>
      <c r="E355" s="95"/>
      <c r="F355" s="96"/>
    </row>
    <row r="356">
      <c r="D356" s="57"/>
      <c r="E356" s="95"/>
      <c r="F356" s="96"/>
    </row>
    <row r="357">
      <c r="D357" s="57"/>
      <c r="E357" s="95"/>
      <c r="F357" s="96"/>
    </row>
    <row r="358">
      <c r="D358" s="57"/>
      <c r="E358" s="95"/>
      <c r="F358" s="96"/>
    </row>
    <row r="359">
      <c r="D359" s="57"/>
      <c r="E359" s="95"/>
      <c r="F359" s="96"/>
    </row>
    <row r="360">
      <c r="D360" s="57"/>
      <c r="E360" s="95"/>
      <c r="F360" s="96"/>
    </row>
    <row r="361">
      <c r="D361" s="57"/>
      <c r="E361" s="95"/>
      <c r="F361" s="96"/>
    </row>
    <row r="362">
      <c r="D362" s="57"/>
      <c r="E362" s="95"/>
      <c r="F362" s="96"/>
    </row>
    <row r="363">
      <c r="D363" s="57"/>
      <c r="E363" s="95"/>
      <c r="F363" s="96"/>
    </row>
    <row r="364">
      <c r="D364" s="57"/>
      <c r="E364" s="95"/>
      <c r="F364" s="96"/>
    </row>
    <row r="365">
      <c r="D365" s="57"/>
      <c r="E365" s="95"/>
      <c r="F365" s="96"/>
    </row>
    <row r="366">
      <c r="D366" s="57"/>
      <c r="E366" s="95"/>
      <c r="F366" s="96"/>
    </row>
    <row r="367">
      <c r="D367" s="57"/>
      <c r="E367" s="95"/>
      <c r="F367" s="96"/>
    </row>
    <row r="368">
      <c r="D368" s="57"/>
      <c r="E368" s="95"/>
      <c r="F368" s="96"/>
    </row>
    <row r="369">
      <c r="D369" s="57"/>
      <c r="E369" s="95"/>
      <c r="F369" s="96"/>
    </row>
    <row r="370">
      <c r="D370" s="57"/>
      <c r="E370" s="95"/>
      <c r="F370" s="96"/>
    </row>
    <row r="371">
      <c r="D371" s="57"/>
      <c r="E371" s="95"/>
      <c r="F371" s="96"/>
    </row>
    <row r="372">
      <c r="D372" s="57"/>
      <c r="E372" s="95"/>
      <c r="F372" s="96"/>
    </row>
    <row r="373">
      <c r="D373" s="57"/>
      <c r="E373" s="95"/>
      <c r="F373" s="96"/>
    </row>
    <row r="374">
      <c r="D374" s="57"/>
      <c r="E374" s="95"/>
      <c r="F374" s="96"/>
    </row>
    <row r="375">
      <c r="D375" s="57"/>
      <c r="E375" s="95"/>
      <c r="F375" s="96"/>
    </row>
    <row r="376">
      <c r="D376" s="57"/>
      <c r="E376" s="95"/>
      <c r="F376" s="96"/>
    </row>
    <row r="377">
      <c r="D377" s="57"/>
      <c r="E377" s="95"/>
      <c r="F377" s="96"/>
    </row>
    <row r="378">
      <c r="D378" s="57"/>
      <c r="E378" s="95"/>
      <c r="F378" s="96"/>
    </row>
    <row r="379">
      <c r="D379" s="57"/>
      <c r="E379" s="95"/>
      <c r="F379" s="96"/>
    </row>
    <row r="380">
      <c r="D380" s="57"/>
      <c r="E380" s="95"/>
      <c r="F380" s="96"/>
    </row>
    <row r="381">
      <c r="D381" s="57"/>
      <c r="E381" s="95"/>
      <c r="F381" s="96"/>
    </row>
    <row r="382">
      <c r="D382" s="57"/>
      <c r="E382" s="95"/>
      <c r="F382" s="96"/>
    </row>
    <row r="383">
      <c r="D383" s="57"/>
      <c r="E383" s="95"/>
      <c r="F383" s="96"/>
    </row>
    <row r="384">
      <c r="D384" s="57"/>
      <c r="E384" s="95"/>
      <c r="F384" s="96"/>
    </row>
    <row r="385">
      <c r="D385" s="57"/>
      <c r="E385" s="95"/>
      <c r="F385" s="96"/>
    </row>
    <row r="386">
      <c r="D386" s="57"/>
      <c r="E386" s="95"/>
      <c r="F386" s="96"/>
    </row>
    <row r="387">
      <c r="D387" s="57"/>
      <c r="E387" s="95"/>
      <c r="F387" s="96"/>
    </row>
    <row r="388">
      <c r="D388" s="57"/>
      <c r="E388" s="95"/>
      <c r="F388" s="96"/>
    </row>
    <row r="389">
      <c r="D389" s="57"/>
      <c r="E389" s="95"/>
      <c r="F389" s="96"/>
    </row>
    <row r="390">
      <c r="D390" s="57"/>
      <c r="E390" s="95"/>
      <c r="F390" s="96"/>
    </row>
    <row r="391">
      <c r="D391" s="57"/>
      <c r="E391" s="95"/>
      <c r="F391" s="96"/>
    </row>
    <row r="392">
      <c r="D392" s="57"/>
      <c r="E392" s="95"/>
      <c r="F392" s="96"/>
    </row>
    <row r="393">
      <c r="D393" s="57"/>
      <c r="E393" s="95"/>
      <c r="F393" s="96"/>
    </row>
    <row r="394">
      <c r="D394" s="57"/>
      <c r="E394" s="95"/>
      <c r="F394" s="96"/>
    </row>
    <row r="395">
      <c r="D395" s="57"/>
      <c r="E395" s="95"/>
      <c r="F395" s="96"/>
    </row>
    <row r="396">
      <c r="D396" s="57"/>
      <c r="E396" s="95"/>
      <c r="F396" s="96"/>
    </row>
    <row r="397">
      <c r="D397" s="57"/>
      <c r="E397" s="95"/>
      <c r="F397" s="96"/>
    </row>
    <row r="398">
      <c r="D398" s="57"/>
      <c r="E398" s="95"/>
      <c r="F398" s="96"/>
    </row>
    <row r="399">
      <c r="D399" s="57"/>
      <c r="E399" s="95"/>
      <c r="F399" s="96"/>
    </row>
    <row r="400">
      <c r="D400" s="57"/>
      <c r="E400" s="95"/>
      <c r="F400" s="96"/>
    </row>
    <row r="401">
      <c r="D401" s="57"/>
      <c r="E401" s="95"/>
      <c r="F401" s="96"/>
    </row>
    <row r="402">
      <c r="D402" s="57"/>
      <c r="E402" s="95"/>
      <c r="F402" s="96"/>
    </row>
    <row r="403">
      <c r="D403" s="57"/>
      <c r="E403" s="95"/>
      <c r="F403" s="96"/>
    </row>
    <row r="404">
      <c r="D404" s="57"/>
      <c r="E404" s="95"/>
      <c r="F404" s="96"/>
    </row>
    <row r="405">
      <c r="D405" s="57"/>
      <c r="E405" s="95"/>
      <c r="F405" s="96"/>
    </row>
    <row r="406">
      <c r="D406" s="57"/>
      <c r="E406" s="95"/>
      <c r="F406" s="96"/>
    </row>
    <row r="407">
      <c r="D407" s="57"/>
      <c r="E407" s="95"/>
      <c r="F407" s="96"/>
    </row>
    <row r="408">
      <c r="D408" s="57"/>
      <c r="E408" s="95"/>
      <c r="F408" s="96"/>
    </row>
    <row r="409">
      <c r="D409" s="57"/>
      <c r="E409" s="95"/>
      <c r="F409" s="96"/>
    </row>
    <row r="410">
      <c r="D410" s="57"/>
      <c r="E410" s="95"/>
      <c r="F410" s="96"/>
    </row>
    <row r="411">
      <c r="D411" s="57"/>
      <c r="E411" s="95"/>
      <c r="F411" s="96"/>
    </row>
    <row r="412">
      <c r="D412" s="57"/>
      <c r="E412" s="95"/>
      <c r="F412" s="96"/>
    </row>
    <row r="413">
      <c r="D413" s="57"/>
      <c r="E413" s="95"/>
      <c r="F413" s="96"/>
    </row>
    <row r="414">
      <c r="D414" s="57"/>
      <c r="E414" s="95"/>
      <c r="F414" s="96"/>
    </row>
    <row r="415">
      <c r="D415" s="57"/>
      <c r="E415" s="95"/>
      <c r="F415" s="96"/>
    </row>
    <row r="416">
      <c r="D416" s="57"/>
      <c r="E416" s="95"/>
      <c r="F416" s="96"/>
    </row>
    <row r="417">
      <c r="D417" s="57"/>
      <c r="E417" s="95"/>
      <c r="F417" s="96"/>
    </row>
    <row r="418">
      <c r="D418" s="57"/>
      <c r="E418" s="95"/>
      <c r="F418" s="96"/>
    </row>
    <row r="419">
      <c r="D419" s="57"/>
      <c r="E419" s="95"/>
      <c r="F419" s="96"/>
    </row>
    <row r="420">
      <c r="D420" s="57"/>
      <c r="E420" s="95"/>
      <c r="F420" s="96"/>
    </row>
    <row r="421">
      <c r="D421" s="57"/>
      <c r="E421" s="95"/>
      <c r="F421" s="96"/>
    </row>
    <row r="422">
      <c r="D422" s="57"/>
      <c r="E422" s="95"/>
      <c r="F422" s="96"/>
    </row>
    <row r="423">
      <c r="D423" s="57"/>
      <c r="E423" s="95"/>
      <c r="F423" s="96"/>
    </row>
    <row r="424">
      <c r="D424" s="57"/>
      <c r="E424" s="95"/>
      <c r="F424" s="96"/>
    </row>
    <row r="425">
      <c r="D425" s="57"/>
      <c r="E425" s="95"/>
      <c r="F425" s="96"/>
    </row>
    <row r="426">
      <c r="D426" s="57"/>
      <c r="E426" s="95"/>
      <c r="F426" s="96"/>
    </row>
    <row r="427">
      <c r="D427" s="57"/>
      <c r="E427" s="95"/>
      <c r="F427" s="96"/>
    </row>
    <row r="428">
      <c r="D428" s="57"/>
      <c r="E428" s="95"/>
      <c r="F428" s="96"/>
    </row>
    <row r="429">
      <c r="D429" s="57"/>
      <c r="E429" s="95"/>
      <c r="F429" s="96"/>
    </row>
    <row r="430">
      <c r="D430" s="57"/>
      <c r="E430" s="95"/>
      <c r="F430" s="96"/>
    </row>
    <row r="431">
      <c r="D431" s="57"/>
      <c r="E431" s="95"/>
      <c r="F431" s="96"/>
    </row>
    <row r="432">
      <c r="D432" s="57"/>
      <c r="E432" s="95"/>
      <c r="F432" s="96"/>
    </row>
    <row r="433">
      <c r="D433" s="57"/>
      <c r="E433" s="95"/>
      <c r="F433" s="96"/>
    </row>
    <row r="434">
      <c r="D434" s="57"/>
      <c r="E434" s="95"/>
      <c r="F434" s="96"/>
    </row>
    <row r="435">
      <c r="D435" s="57"/>
      <c r="E435" s="95"/>
      <c r="F435" s="96"/>
    </row>
    <row r="436">
      <c r="D436" s="57"/>
      <c r="E436" s="95"/>
      <c r="F436" s="96"/>
    </row>
    <row r="437">
      <c r="D437" s="57"/>
      <c r="E437" s="95"/>
      <c r="F437" s="96"/>
    </row>
    <row r="438">
      <c r="D438" s="57"/>
      <c r="E438" s="95"/>
      <c r="F438" s="96"/>
    </row>
    <row r="439">
      <c r="D439" s="57"/>
      <c r="E439" s="95"/>
      <c r="F439" s="96"/>
    </row>
    <row r="440">
      <c r="D440" s="57"/>
      <c r="E440" s="95"/>
      <c r="F440" s="96"/>
    </row>
    <row r="441">
      <c r="D441" s="57"/>
      <c r="E441" s="95"/>
      <c r="F441" s="96"/>
    </row>
    <row r="442">
      <c r="D442" s="57"/>
      <c r="E442" s="95"/>
      <c r="F442" s="96"/>
    </row>
    <row r="443">
      <c r="D443" s="57"/>
      <c r="E443" s="95"/>
      <c r="F443" s="96"/>
    </row>
    <row r="444">
      <c r="D444" s="57"/>
      <c r="E444" s="95"/>
      <c r="F444" s="96"/>
    </row>
    <row r="445">
      <c r="D445" s="57"/>
      <c r="E445" s="95"/>
      <c r="F445" s="96"/>
    </row>
    <row r="446">
      <c r="D446" s="57"/>
      <c r="E446" s="95"/>
      <c r="F446" s="96"/>
    </row>
    <row r="447">
      <c r="D447" s="57"/>
      <c r="E447" s="95"/>
      <c r="F447" s="96"/>
    </row>
    <row r="448">
      <c r="D448" s="57"/>
      <c r="E448" s="95"/>
      <c r="F448" s="96"/>
    </row>
    <row r="449">
      <c r="D449" s="57"/>
      <c r="E449" s="95"/>
      <c r="F449" s="96"/>
    </row>
    <row r="450">
      <c r="D450" s="57"/>
      <c r="E450" s="95"/>
      <c r="F450" s="96"/>
    </row>
    <row r="451">
      <c r="D451" s="57"/>
      <c r="E451" s="95"/>
      <c r="F451" s="96"/>
    </row>
    <row r="452">
      <c r="D452" s="57"/>
      <c r="E452" s="95"/>
      <c r="F452" s="96"/>
    </row>
    <row r="453">
      <c r="D453" s="57"/>
      <c r="E453" s="95"/>
      <c r="F453" s="96"/>
    </row>
    <row r="454">
      <c r="D454" s="57"/>
      <c r="E454" s="95"/>
      <c r="F454" s="96"/>
    </row>
    <row r="455">
      <c r="D455" s="57"/>
      <c r="E455" s="95"/>
      <c r="F455" s="96"/>
    </row>
    <row r="456">
      <c r="D456" s="57"/>
      <c r="E456" s="95"/>
      <c r="F456" s="96"/>
    </row>
    <row r="457">
      <c r="D457" s="57"/>
      <c r="E457" s="95"/>
      <c r="F457" s="96"/>
    </row>
    <row r="458">
      <c r="D458" s="57"/>
      <c r="E458" s="95"/>
      <c r="F458" s="96"/>
    </row>
    <row r="459">
      <c r="D459" s="57"/>
      <c r="E459" s="95"/>
      <c r="F459" s="96"/>
    </row>
    <row r="460">
      <c r="D460" s="57"/>
      <c r="E460" s="95"/>
      <c r="F460" s="96"/>
    </row>
    <row r="461">
      <c r="D461" s="57"/>
      <c r="E461" s="95"/>
      <c r="F461" s="96"/>
    </row>
    <row r="462">
      <c r="D462" s="57"/>
      <c r="E462" s="95"/>
      <c r="F462" s="96"/>
    </row>
    <row r="463">
      <c r="D463" s="57"/>
      <c r="E463" s="95"/>
      <c r="F463" s="96"/>
    </row>
    <row r="464">
      <c r="D464" s="57"/>
      <c r="E464" s="95"/>
      <c r="F464" s="96"/>
    </row>
    <row r="465">
      <c r="D465" s="57"/>
      <c r="E465" s="95"/>
      <c r="F465" s="96"/>
    </row>
    <row r="466">
      <c r="D466" s="57"/>
      <c r="E466" s="95"/>
      <c r="F466" s="96"/>
    </row>
    <row r="467">
      <c r="D467" s="57"/>
      <c r="E467" s="95"/>
      <c r="F467" s="96"/>
    </row>
    <row r="468">
      <c r="D468" s="57"/>
      <c r="E468" s="95"/>
      <c r="F468" s="96"/>
    </row>
    <row r="469">
      <c r="D469" s="57"/>
      <c r="E469" s="95"/>
      <c r="F469" s="96"/>
    </row>
    <row r="470">
      <c r="D470" s="57"/>
      <c r="E470" s="95"/>
      <c r="F470" s="96"/>
    </row>
    <row r="471">
      <c r="D471" s="57"/>
      <c r="E471" s="95"/>
      <c r="F471" s="96"/>
    </row>
    <row r="472">
      <c r="D472" s="57"/>
      <c r="E472" s="95"/>
      <c r="F472" s="96"/>
    </row>
    <row r="473">
      <c r="D473" s="57"/>
      <c r="E473" s="95"/>
      <c r="F473" s="96"/>
    </row>
    <row r="474">
      <c r="D474" s="57"/>
      <c r="E474" s="95"/>
      <c r="F474" s="96"/>
    </row>
    <row r="475">
      <c r="D475" s="57"/>
      <c r="E475" s="95"/>
      <c r="F475" s="96"/>
    </row>
    <row r="476">
      <c r="D476" s="57"/>
      <c r="E476" s="95"/>
      <c r="F476" s="96"/>
    </row>
    <row r="477">
      <c r="D477" s="57"/>
      <c r="E477" s="95"/>
      <c r="F477" s="96"/>
    </row>
    <row r="478">
      <c r="D478" s="57"/>
      <c r="E478" s="95"/>
      <c r="F478" s="96"/>
    </row>
    <row r="479">
      <c r="D479" s="57"/>
      <c r="E479" s="95"/>
      <c r="F479" s="96"/>
    </row>
    <row r="480">
      <c r="D480" s="57"/>
      <c r="E480" s="95"/>
      <c r="F480" s="96"/>
    </row>
    <row r="481">
      <c r="D481" s="57"/>
      <c r="E481" s="95"/>
      <c r="F481" s="96"/>
    </row>
    <row r="482">
      <c r="D482" s="57"/>
      <c r="E482" s="95"/>
      <c r="F482" s="96"/>
    </row>
    <row r="483">
      <c r="D483" s="57"/>
      <c r="E483" s="95"/>
      <c r="F483" s="96"/>
    </row>
    <row r="484">
      <c r="D484" s="57"/>
      <c r="E484" s="95"/>
      <c r="F484" s="96"/>
    </row>
    <row r="485">
      <c r="D485" s="57"/>
      <c r="E485" s="95"/>
      <c r="F485" s="96"/>
    </row>
    <row r="486">
      <c r="D486" s="57"/>
      <c r="E486" s="95"/>
      <c r="F486" s="96"/>
    </row>
    <row r="487">
      <c r="D487" s="57"/>
      <c r="E487" s="95"/>
      <c r="F487" s="96"/>
    </row>
    <row r="488">
      <c r="D488" s="57"/>
      <c r="E488" s="95"/>
      <c r="F488" s="96"/>
    </row>
    <row r="489">
      <c r="D489" s="57"/>
      <c r="E489" s="95"/>
      <c r="F489" s="96"/>
    </row>
    <row r="490">
      <c r="D490" s="57"/>
      <c r="E490" s="95"/>
      <c r="F490" s="96"/>
    </row>
    <row r="491">
      <c r="D491" s="57"/>
      <c r="E491" s="95"/>
      <c r="F491" s="96"/>
    </row>
    <row r="492">
      <c r="D492" s="57"/>
      <c r="E492" s="95"/>
      <c r="F492" s="96"/>
    </row>
    <row r="493">
      <c r="D493" s="57"/>
      <c r="E493" s="95"/>
      <c r="F493" s="96"/>
    </row>
    <row r="494">
      <c r="D494" s="57"/>
      <c r="E494" s="95"/>
      <c r="F494" s="96"/>
    </row>
    <row r="495">
      <c r="D495" s="57"/>
      <c r="E495" s="95"/>
      <c r="F495" s="96"/>
    </row>
    <row r="496">
      <c r="D496" s="57"/>
      <c r="E496" s="95"/>
      <c r="F496" s="96"/>
    </row>
    <row r="497">
      <c r="D497" s="57"/>
      <c r="E497" s="95"/>
      <c r="F497" s="96"/>
    </row>
    <row r="498">
      <c r="D498" s="57"/>
      <c r="E498" s="95"/>
      <c r="F498" s="96"/>
    </row>
    <row r="499">
      <c r="D499" s="57"/>
      <c r="E499" s="95"/>
      <c r="F499" s="96"/>
    </row>
    <row r="500">
      <c r="D500" s="57"/>
      <c r="E500" s="95"/>
      <c r="F500" s="96"/>
    </row>
    <row r="501">
      <c r="D501" s="57"/>
      <c r="E501" s="95"/>
      <c r="F501" s="96"/>
    </row>
    <row r="502">
      <c r="D502" s="57"/>
      <c r="E502" s="95"/>
      <c r="F502" s="96"/>
    </row>
    <row r="503">
      <c r="D503" s="57"/>
      <c r="E503" s="95"/>
      <c r="F503" s="96"/>
    </row>
    <row r="504">
      <c r="D504" s="57"/>
      <c r="E504" s="95"/>
      <c r="F504" s="96"/>
    </row>
    <row r="505">
      <c r="D505" s="57"/>
      <c r="E505" s="95"/>
      <c r="F505" s="96"/>
    </row>
    <row r="506">
      <c r="D506" s="57"/>
      <c r="E506" s="95"/>
      <c r="F506" s="96"/>
    </row>
    <row r="507">
      <c r="D507" s="57"/>
      <c r="E507" s="95"/>
      <c r="F507" s="96"/>
    </row>
    <row r="508">
      <c r="D508" s="57"/>
      <c r="E508" s="95"/>
      <c r="F508" s="96"/>
    </row>
    <row r="509">
      <c r="D509" s="57"/>
      <c r="E509" s="95"/>
      <c r="F509" s="96"/>
    </row>
    <row r="510">
      <c r="D510" s="57"/>
      <c r="E510" s="95"/>
      <c r="F510" s="96"/>
    </row>
    <row r="511">
      <c r="D511" s="57"/>
      <c r="E511" s="95"/>
      <c r="F511" s="96"/>
    </row>
    <row r="512">
      <c r="D512" s="57"/>
      <c r="E512" s="95"/>
      <c r="F512" s="96"/>
    </row>
    <row r="513">
      <c r="D513" s="57"/>
      <c r="E513" s="95"/>
      <c r="F513" s="96"/>
    </row>
    <row r="514">
      <c r="D514" s="57"/>
      <c r="E514" s="95"/>
      <c r="F514" s="96"/>
    </row>
    <row r="515">
      <c r="D515" s="57"/>
      <c r="E515" s="95"/>
      <c r="F515" s="96"/>
    </row>
    <row r="516">
      <c r="D516" s="57"/>
      <c r="E516" s="95"/>
      <c r="F516" s="96"/>
    </row>
    <row r="517">
      <c r="D517" s="57"/>
      <c r="E517" s="95"/>
      <c r="F517" s="96"/>
    </row>
    <row r="518">
      <c r="D518" s="57"/>
      <c r="E518" s="95"/>
      <c r="F518" s="96"/>
    </row>
    <row r="519">
      <c r="D519" s="57"/>
      <c r="E519" s="95"/>
      <c r="F519" s="96"/>
    </row>
    <row r="520">
      <c r="D520" s="57"/>
      <c r="E520" s="95"/>
      <c r="F520" s="96"/>
    </row>
    <row r="521">
      <c r="D521" s="57"/>
      <c r="E521" s="95"/>
      <c r="F521" s="96"/>
    </row>
    <row r="522">
      <c r="D522" s="57"/>
      <c r="E522" s="95"/>
      <c r="F522" s="96"/>
    </row>
    <row r="523">
      <c r="D523" s="57"/>
      <c r="E523" s="95"/>
      <c r="F523" s="96"/>
    </row>
    <row r="524">
      <c r="D524" s="57"/>
      <c r="E524" s="95"/>
      <c r="F524" s="96"/>
    </row>
    <row r="525">
      <c r="D525" s="57"/>
      <c r="E525" s="95"/>
      <c r="F525" s="96"/>
    </row>
    <row r="526">
      <c r="D526" s="57"/>
      <c r="E526" s="95"/>
      <c r="F526" s="96"/>
    </row>
    <row r="527">
      <c r="D527" s="57"/>
      <c r="E527" s="95"/>
      <c r="F527" s="96"/>
    </row>
    <row r="528">
      <c r="D528" s="57"/>
      <c r="E528" s="95"/>
      <c r="F528" s="96"/>
    </row>
    <row r="529">
      <c r="D529" s="57"/>
      <c r="E529" s="95"/>
      <c r="F529" s="96"/>
    </row>
    <row r="530">
      <c r="D530" s="57"/>
      <c r="E530" s="95"/>
      <c r="F530" s="96"/>
    </row>
    <row r="531">
      <c r="D531" s="57"/>
      <c r="E531" s="95"/>
      <c r="F531" s="96"/>
    </row>
    <row r="532">
      <c r="D532" s="57"/>
      <c r="E532" s="95"/>
      <c r="F532" s="96"/>
    </row>
    <row r="533">
      <c r="D533" s="57"/>
      <c r="E533" s="95"/>
      <c r="F533" s="96"/>
    </row>
    <row r="534">
      <c r="D534" s="57"/>
      <c r="E534" s="95"/>
      <c r="F534" s="96"/>
    </row>
    <row r="535">
      <c r="D535" s="57"/>
      <c r="E535" s="95"/>
      <c r="F535" s="96"/>
    </row>
    <row r="536">
      <c r="D536" s="57"/>
      <c r="E536" s="95"/>
      <c r="F536" s="96"/>
    </row>
    <row r="537">
      <c r="D537" s="57"/>
      <c r="E537" s="95"/>
      <c r="F537" s="96"/>
    </row>
    <row r="538">
      <c r="D538" s="57"/>
      <c r="E538" s="95"/>
      <c r="F538" s="96"/>
    </row>
    <row r="539">
      <c r="D539" s="57"/>
      <c r="E539" s="95"/>
      <c r="F539" s="96"/>
    </row>
    <row r="540">
      <c r="D540" s="57"/>
      <c r="E540" s="95"/>
      <c r="F540" s="96"/>
    </row>
    <row r="541">
      <c r="D541" s="57"/>
      <c r="E541" s="95"/>
      <c r="F541" s="96"/>
    </row>
    <row r="542">
      <c r="D542" s="57"/>
      <c r="E542" s="95"/>
      <c r="F542" s="96"/>
    </row>
    <row r="543">
      <c r="D543" s="57"/>
      <c r="E543" s="95"/>
      <c r="F543" s="96"/>
    </row>
    <row r="544">
      <c r="D544" s="57"/>
      <c r="E544" s="95"/>
      <c r="F544" s="96"/>
    </row>
    <row r="545">
      <c r="D545" s="57"/>
      <c r="E545" s="95"/>
      <c r="F545" s="96"/>
    </row>
    <row r="546">
      <c r="D546" s="57"/>
      <c r="E546" s="95"/>
      <c r="F546" s="96"/>
    </row>
    <row r="547">
      <c r="D547" s="57"/>
      <c r="E547" s="95"/>
      <c r="F547" s="96"/>
    </row>
    <row r="548">
      <c r="D548" s="57"/>
      <c r="E548" s="95"/>
      <c r="F548" s="96"/>
    </row>
    <row r="549">
      <c r="D549" s="57"/>
      <c r="E549" s="95"/>
      <c r="F549" s="96"/>
    </row>
    <row r="550">
      <c r="D550" s="57"/>
      <c r="E550" s="95"/>
      <c r="F550" s="96"/>
    </row>
    <row r="551">
      <c r="D551" s="57"/>
      <c r="E551" s="95"/>
      <c r="F551" s="96"/>
    </row>
    <row r="552">
      <c r="D552" s="57"/>
      <c r="E552" s="95"/>
      <c r="F552" s="96"/>
    </row>
    <row r="553">
      <c r="D553" s="57"/>
      <c r="E553" s="95"/>
      <c r="F553" s="96"/>
    </row>
    <row r="554">
      <c r="D554" s="57"/>
      <c r="E554" s="95"/>
      <c r="F554" s="96"/>
    </row>
    <row r="555">
      <c r="D555" s="57"/>
      <c r="E555" s="95"/>
      <c r="F555" s="96"/>
    </row>
    <row r="556">
      <c r="D556" s="57"/>
      <c r="E556" s="95"/>
      <c r="F556" s="96"/>
    </row>
    <row r="557">
      <c r="D557" s="57"/>
      <c r="E557" s="95"/>
      <c r="F557" s="96"/>
    </row>
    <row r="558">
      <c r="D558" s="57"/>
      <c r="E558" s="95"/>
      <c r="F558" s="96"/>
    </row>
    <row r="559">
      <c r="D559" s="57"/>
      <c r="E559" s="95"/>
      <c r="F559" s="96"/>
    </row>
    <row r="560">
      <c r="D560" s="57"/>
      <c r="E560" s="95"/>
      <c r="F560" s="96"/>
    </row>
    <row r="561">
      <c r="D561" s="57"/>
      <c r="E561" s="95"/>
      <c r="F561" s="96"/>
    </row>
    <row r="562">
      <c r="D562" s="57"/>
      <c r="E562" s="95"/>
      <c r="F562" s="96"/>
    </row>
    <row r="563">
      <c r="D563" s="57"/>
      <c r="E563" s="95"/>
      <c r="F563" s="96"/>
    </row>
    <row r="564">
      <c r="D564" s="57"/>
      <c r="E564" s="95"/>
      <c r="F564" s="96"/>
    </row>
    <row r="565">
      <c r="D565" s="57"/>
      <c r="E565" s="95"/>
      <c r="F565" s="96"/>
    </row>
    <row r="566">
      <c r="D566" s="57"/>
      <c r="E566" s="95"/>
      <c r="F566" s="96"/>
    </row>
    <row r="567">
      <c r="D567" s="57"/>
      <c r="E567" s="95"/>
      <c r="F567" s="96"/>
    </row>
    <row r="568">
      <c r="D568" s="57"/>
      <c r="E568" s="95"/>
      <c r="F568" s="96"/>
    </row>
    <row r="569">
      <c r="D569" s="57"/>
      <c r="E569" s="95"/>
      <c r="F569" s="96"/>
    </row>
    <row r="570">
      <c r="D570" s="57"/>
      <c r="E570" s="95"/>
      <c r="F570" s="96"/>
    </row>
    <row r="571">
      <c r="D571" s="57"/>
      <c r="E571" s="95"/>
      <c r="F571" s="96"/>
    </row>
    <row r="572">
      <c r="D572" s="57"/>
      <c r="E572" s="95"/>
      <c r="F572" s="96"/>
    </row>
    <row r="573">
      <c r="D573" s="57"/>
      <c r="E573" s="95"/>
      <c r="F573" s="96"/>
    </row>
    <row r="574">
      <c r="D574" s="57"/>
      <c r="E574" s="95"/>
      <c r="F574" s="96"/>
    </row>
    <row r="575">
      <c r="D575" s="57"/>
      <c r="E575" s="95"/>
      <c r="F575" s="96"/>
    </row>
    <row r="576">
      <c r="D576" s="57"/>
      <c r="E576" s="95"/>
      <c r="F576" s="96"/>
    </row>
    <row r="577">
      <c r="D577" s="57"/>
      <c r="E577" s="95"/>
      <c r="F577" s="96"/>
    </row>
    <row r="578">
      <c r="D578" s="57"/>
      <c r="E578" s="95"/>
      <c r="F578" s="96"/>
    </row>
    <row r="579">
      <c r="D579" s="57"/>
      <c r="E579" s="95"/>
      <c r="F579" s="96"/>
    </row>
    <row r="580">
      <c r="D580" s="57"/>
      <c r="E580" s="95"/>
      <c r="F580" s="96"/>
    </row>
    <row r="581">
      <c r="D581" s="57"/>
      <c r="E581" s="95"/>
      <c r="F581" s="96"/>
    </row>
    <row r="582">
      <c r="D582" s="57"/>
      <c r="E582" s="95"/>
      <c r="F582" s="96"/>
    </row>
    <row r="583">
      <c r="D583" s="57"/>
      <c r="E583" s="95"/>
      <c r="F583" s="96"/>
    </row>
    <row r="584">
      <c r="D584" s="57"/>
      <c r="E584" s="95"/>
      <c r="F584" s="96"/>
    </row>
    <row r="585">
      <c r="D585" s="57"/>
      <c r="E585" s="95"/>
      <c r="F585" s="96"/>
    </row>
    <row r="586">
      <c r="D586" s="57"/>
      <c r="E586" s="95"/>
      <c r="F586" s="96"/>
    </row>
    <row r="587">
      <c r="D587" s="57"/>
      <c r="E587" s="95"/>
      <c r="F587" s="96"/>
    </row>
    <row r="588">
      <c r="D588" s="57"/>
      <c r="E588" s="95"/>
      <c r="F588" s="96"/>
    </row>
    <row r="589">
      <c r="D589" s="57"/>
      <c r="E589" s="95"/>
      <c r="F589" s="96"/>
    </row>
    <row r="590">
      <c r="D590" s="57"/>
      <c r="E590" s="95"/>
      <c r="F590" s="96"/>
    </row>
    <row r="591">
      <c r="D591" s="57"/>
      <c r="E591" s="95"/>
      <c r="F591" s="96"/>
    </row>
    <row r="592">
      <c r="D592" s="57"/>
      <c r="E592" s="95"/>
      <c r="F592" s="96"/>
    </row>
    <row r="593">
      <c r="D593" s="57"/>
      <c r="E593" s="95"/>
      <c r="F593" s="96"/>
    </row>
    <row r="594">
      <c r="D594" s="57"/>
      <c r="E594" s="95"/>
      <c r="F594" s="96"/>
    </row>
    <row r="595">
      <c r="D595" s="57"/>
      <c r="E595" s="95"/>
      <c r="F595" s="96"/>
    </row>
    <row r="596">
      <c r="D596" s="57"/>
      <c r="E596" s="95"/>
      <c r="F596" s="96"/>
    </row>
    <row r="597">
      <c r="D597" s="57"/>
      <c r="E597" s="95"/>
      <c r="F597" s="96"/>
    </row>
    <row r="598">
      <c r="D598" s="57"/>
      <c r="E598" s="95"/>
      <c r="F598" s="96"/>
    </row>
    <row r="599">
      <c r="D599" s="57"/>
      <c r="E599" s="95"/>
      <c r="F599" s="96"/>
    </row>
    <row r="600">
      <c r="D600" s="57"/>
      <c r="E600" s="95"/>
      <c r="F600" s="96"/>
    </row>
    <row r="601">
      <c r="D601" s="57"/>
      <c r="E601" s="95"/>
      <c r="F601" s="96"/>
    </row>
    <row r="602">
      <c r="D602" s="57"/>
      <c r="E602" s="95"/>
      <c r="F602" s="96"/>
    </row>
    <row r="603">
      <c r="D603" s="57"/>
      <c r="E603" s="95"/>
      <c r="F603" s="96"/>
    </row>
    <row r="604">
      <c r="D604" s="57"/>
      <c r="E604" s="95"/>
      <c r="F604" s="96"/>
    </row>
    <row r="605">
      <c r="D605" s="57"/>
      <c r="E605" s="95"/>
      <c r="F605" s="96"/>
    </row>
    <row r="606">
      <c r="D606" s="57"/>
      <c r="E606" s="95"/>
      <c r="F606" s="96"/>
    </row>
    <row r="607">
      <c r="D607" s="57"/>
      <c r="E607" s="95"/>
      <c r="F607" s="96"/>
    </row>
    <row r="608">
      <c r="D608" s="57"/>
      <c r="E608" s="95"/>
      <c r="F608" s="96"/>
    </row>
    <row r="609">
      <c r="D609" s="57"/>
      <c r="E609" s="95"/>
      <c r="F609" s="96"/>
    </row>
    <row r="610">
      <c r="D610" s="57"/>
      <c r="E610" s="95"/>
      <c r="F610" s="96"/>
    </row>
    <row r="611">
      <c r="D611" s="57"/>
      <c r="E611" s="95"/>
      <c r="F611" s="96"/>
    </row>
    <row r="612">
      <c r="D612" s="57"/>
      <c r="E612" s="95"/>
      <c r="F612" s="96"/>
    </row>
    <row r="613">
      <c r="D613" s="57"/>
      <c r="E613" s="95"/>
      <c r="F613" s="96"/>
    </row>
    <row r="614">
      <c r="D614" s="57"/>
      <c r="E614" s="95"/>
      <c r="F614" s="96"/>
    </row>
    <row r="615">
      <c r="D615" s="57"/>
      <c r="E615" s="95"/>
      <c r="F615" s="96"/>
    </row>
    <row r="616">
      <c r="D616" s="57"/>
      <c r="E616" s="95"/>
      <c r="F616" s="96"/>
    </row>
    <row r="617">
      <c r="D617" s="57"/>
      <c r="E617" s="95"/>
      <c r="F617" s="96"/>
    </row>
    <row r="618">
      <c r="D618" s="57"/>
      <c r="E618" s="95"/>
      <c r="F618" s="96"/>
    </row>
    <row r="619">
      <c r="D619" s="57"/>
      <c r="E619" s="95"/>
      <c r="F619" s="96"/>
    </row>
    <row r="620">
      <c r="D620" s="57"/>
      <c r="E620" s="95"/>
      <c r="F620" s="96"/>
    </row>
    <row r="621">
      <c r="D621" s="57"/>
      <c r="E621" s="95"/>
      <c r="F621" s="96"/>
    </row>
    <row r="622">
      <c r="D622" s="57"/>
      <c r="E622" s="95"/>
      <c r="F622" s="96"/>
    </row>
    <row r="623">
      <c r="D623" s="57"/>
      <c r="E623" s="95"/>
      <c r="F623" s="96"/>
    </row>
    <row r="624">
      <c r="D624" s="57"/>
      <c r="E624" s="95"/>
      <c r="F624" s="96"/>
    </row>
    <row r="625">
      <c r="D625" s="57"/>
      <c r="E625" s="95"/>
      <c r="F625" s="96"/>
    </row>
    <row r="626">
      <c r="D626" s="57"/>
      <c r="E626" s="95"/>
      <c r="F626" s="96"/>
    </row>
    <row r="627">
      <c r="D627" s="57"/>
      <c r="E627" s="95"/>
      <c r="F627" s="96"/>
    </row>
    <row r="628">
      <c r="D628" s="57"/>
      <c r="E628" s="95"/>
      <c r="F628" s="96"/>
    </row>
    <row r="629">
      <c r="D629" s="57"/>
      <c r="E629" s="95"/>
      <c r="F629" s="96"/>
    </row>
    <row r="630">
      <c r="D630" s="57"/>
      <c r="E630" s="95"/>
      <c r="F630" s="96"/>
    </row>
    <row r="631">
      <c r="D631" s="57"/>
      <c r="E631" s="95"/>
      <c r="F631" s="96"/>
    </row>
    <row r="632">
      <c r="D632" s="57"/>
      <c r="E632" s="95"/>
      <c r="F632" s="96"/>
    </row>
    <row r="633">
      <c r="D633" s="57"/>
      <c r="E633" s="95"/>
      <c r="F633" s="96"/>
    </row>
    <row r="634">
      <c r="D634" s="57"/>
      <c r="E634" s="95"/>
      <c r="F634" s="96"/>
    </row>
    <row r="635">
      <c r="D635" s="57"/>
      <c r="E635" s="95"/>
      <c r="F635" s="96"/>
    </row>
    <row r="636">
      <c r="D636" s="57"/>
      <c r="E636" s="95"/>
      <c r="F636" s="96"/>
    </row>
    <row r="637">
      <c r="D637" s="57"/>
      <c r="E637" s="95"/>
      <c r="F637" s="96"/>
    </row>
    <row r="638">
      <c r="D638" s="57"/>
      <c r="E638" s="95"/>
      <c r="F638" s="96"/>
    </row>
    <row r="639">
      <c r="D639" s="57"/>
      <c r="E639" s="95"/>
      <c r="F639" s="96"/>
    </row>
    <row r="640">
      <c r="D640" s="57"/>
      <c r="E640" s="95"/>
      <c r="F640" s="96"/>
    </row>
    <row r="641">
      <c r="D641" s="57"/>
      <c r="E641" s="95"/>
      <c r="F641" s="96"/>
    </row>
    <row r="642">
      <c r="D642" s="57"/>
      <c r="E642" s="95"/>
      <c r="F642" s="96"/>
    </row>
    <row r="643">
      <c r="D643" s="57"/>
      <c r="E643" s="95"/>
      <c r="F643" s="96"/>
    </row>
    <row r="644">
      <c r="D644" s="57"/>
      <c r="E644" s="95"/>
      <c r="F644" s="96"/>
    </row>
    <row r="645">
      <c r="D645" s="57"/>
      <c r="E645" s="95"/>
      <c r="F645" s="96"/>
    </row>
    <row r="646">
      <c r="D646" s="57"/>
      <c r="E646" s="95"/>
      <c r="F646" s="96"/>
    </row>
    <row r="647">
      <c r="D647" s="57"/>
      <c r="E647" s="95"/>
      <c r="F647" s="96"/>
    </row>
    <row r="648">
      <c r="D648" s="57"/>
      <c r="E648" s="95"/>
      <c r="F648" s="96"/>
    </row>
    <row r="649">
      <c r="D649" s="57"/>
      <c r="E649" s="95"/>
      <c r="F649" s="96"/>
    </row>
    <row r="650">
      <c r="D650" s="57"/>
      <c r="E650" s="95"/>
      <c r="F650" s="96"/>
    </row>
    <row r="651">
      <c r="D651" s="57"/>
      <c r="E651" s="95"/>
      <c r="F651" s="96"/>
    </row>
    <row r="652">
      <c r="D652" s="57"/>
      <c r="E652" s="95"/>
      <c r="F652" s="96"/>
    </row>
    <row r="653">
      <c r="D653" s="57"/>
      <c r="E653" s="95"/>
      <c r="F653" s="96"/>
    </row>
    <row r="654">
      <c r="D654" s="57"/>
      <c r="E654" s="95"/>
      <c r="F654" s="96"/>
    </row>
    <row r="655">
      <c r="D655" s="57"/>
      <c r="E655" s="95"/>
      <c r="F655" s="96"/>
    </row>
    <row r="656">
      <c r="D656" s="57"/>
      <c r="E656" s="95"/>
      <c r="F656" s="96"/>
    </row>
    <row r="657">
      <c r="D657" s="57"/>
      <c r="E657" s="95"/>
      <c r="F657" s="96"/>
    </row>
    <row r="658">
      <c r="D658" s="57"/>
      <c r="E658" s="95"/>
      <c r="F658" s="96"/>
    </row>
    <row r="659">
      <c r="D659" s="57"/>
      <c r="E659" s="95"/>
      <c r="F659" s="96"/>
    </row>
    <row r="660">
      <c r="D660" s="57"/>
      <c r="E660" s="95"/>
      <c r="F660" s="96"/>
    </row>
    <row r="661">
      <c r="D661" s="57"/>
      <c r="E661" s="95"/>
      <c r="F661" s="96"/>
    </row>
    <row r="662">
      <c r="D662" s="57"/>
      <c r="E662" s="95"/>
      <c r="F662" s="96"/>
    </row>
    <row r="663">
      <c r="D663" s="57"/>
      <c r="E663" s="95"/>
      <c r="F663" s="96"/>
    </row>
    <row r="664">
      <c r="D664" s="57"/>
      <c r="E664" s="95"/>
      <c r="F664" s="96"/>
    </row>
    <row r="665">
      <c r="D665" s="57"/>
      <c r="E665" s="95"/>
      <c r="F665" s="96"/>
    </row>
    <row r="666">
      <c r="D666" s="57"/>
      <c r="E666" s="95"/>
      <c r="F666" s="96"/>
    </row>
    <row r="667">
      <c r="D667" s="57"/>
      <c r="E667" s="95"/>
      <c r="F667" s="96"/>
    </row>
    <row r="668">
      <c r="D668" s="57"/>
      <c r="E668" s="95"/>
      <c r="F668" s="96"/>
    </row>
    <row r="669">
      <c r="D669" s="57"/>
      <c r="E669" s="95"/>
      <c r="F669" s="96"/>
    </row>
    <row r="670">
      <c r="D670" s="57"/>
      <c r="E670" s="95"/>
      <c r="F670" s="96"/>
    </row>
    <row r="671">
      <c r="D671" s="57"/>
      <c r="E671" s="95"/>
      <c r="F671" s="96"/>
    </row>
    <row r="672">
      <c r="D672" s="57"/>
      <c r="E672" s="95"/>
      <c r="F672" s="96"/>
    </row>
    <row r="673">
      <c r="D673" s="57"/>
      <c r="E673" s="95"/>
      <c r="F673" s="96"/>
    </row>
    <row r="674">
      <c r="D674" s="57"/>
      <c r="E674" s="95"/>
      <c r="F674" s="96"/>
    </row>
    <row r="675">
      <c r="D675" s="57"/>
      <c r="E675" s="95"/>
      <c r="F675" s="96"/>
    </row>
    <row r="676">
      <c r="D676" s="57"/>
      <c r="E676" s="95"/>
      <c r="F676" s="96"/>
    </row>
    <row r="677">
      <c r="D677" s="57"/>
      <c r="E677" s="95"/>
      <c r="F677" s="96"/>
    </row>
    <row r="678">
      <c r="D678" s="57"/>
      <c r="E678" s="95"/>
      <c r="F678" s="96"/>
    </row>
    <row r="679">
      <c r="D679" s="57"/>
      <c r="E679" s="95"/>
      <c r="F679" s="96"/>
    </row>
    <row r="680">
      <c r="D680" s="57"/>
      <c r="E680" s="95"/>
      <c r="F680" s="96"/>
    </row>
    <row r="681">
      <c r="D681" s="57"/>
      <c r="E681" s="95"/>
      <c r="F681" s="96"/>
    </row>
    <row r="682">
      <c r="D682" s="57"/>
      <c r="E682" s="95"/>
      <c r="F682" s="96"/>
    </row>
    <row r="683">
      <c r="D683" s="57"/>
      <c r="E683" s="95"/>
      <c r="F683" s="96"/>
    </row>
    <row r="684">
      <c r="D684" s="57"/>
      <c r="E684" s="95"/>
      <c r="F684" s="96"/>
    </row>
    <row r="685">
      <c r="D685" s="57"/>
      <c r="E685" s="95"/>
      <c r="F685" s="96"/>
    </row>
    <row r="686">
      <c r="D686" s="57"/>
      <c r="E686" s="95"/>
      <c r="F686" s="96"/>
    </row>
    <row r="687">
      <c r="D687" s="57"/>
      <c r="E687" s="95"/>
      <c r="F687" s="96"/>
    </row>
    <row r="688">
      <c r="D688" s="57"/>
      <c r="E688" s="95"/>
      <c r="F688" s="96"/>
    </row>
    <row r="689">
      <c r="D689" s="57"/>
      <c r="E689" s="95"/>
      <c r="F689" s="96"/>
    </row>
    <row r="690">
      <c r="D690" s="57"/>
      <c r="E690" s="95"/>
      <c r="F690" s="96"/>
    </row>
    <row r="691">
      <c r="D691" s="57"/>
      <c r="E691" s="95"/>
      <c r="F691" s="96"/>
    </row>
    <row r="692">
      <c r="D692" s="57"/>
      <c r="E692" s="95"/>
      <c r="F692" s="96"/>
    </row>
    <row r="693">
      <c r="D693" s="57"/>
      <c r="E693" s="95"/>
      <c r="F693" s="96"/>
    </row>
    <row r="694">
      <c r="D694" s="57"/>
      <c r="E694" s="95"/>
      <c r="F694" s="96"/>
    </row>
    <row r="695">
      <c r="D695" s="57"/>
      <c r="E695" s="95"/>
      <c r="F695" s="96"/>
    </row>
    <row r="696">
      <c r="D696" s="57"/>
      <c r="E696" s="95"/>
      <c r="F696" s="96"/>
    </row>
    <row r="697">
      <c r="D697" s="57"/>
      <c r="E697" s="95"/>
      <c r="F697" s="96"/>
    </row>
    <row r="698">
      <c r="D698" s="57"/>
      <c r="E698" s="95"/>
      <c r="F698" s="96"/>
    </row>
    <row r="699">
      <c r="D699" s="57"/>
      <c r="E699" s="95"/>
      <c r="F699" s="96"/>
    </row>
    <row r="700">
      <c r="D700" s="57"/>
      <c r="E700" s="95"/>
      <c r="F700" s="96"/>
    </row>
    <row r="701">
      <c r="D701" s="57"/>
      <c r="E701" s="95"/>
      <c r="F701" s="96"/>
    </row>
    <row r="702">
      <c r="D702" s="57"/>
      <c r="E702" s="95"/>
      <c r="F702" s="96"/>
    </row>
    <row r="703">
      <c r="D703" s="57"/>
      <c r="E703" s="95"/>
      <c r="F703" s="96"/>
    </row>
    <row r="704">
      <c r="D704" s="57"/>
      <c r="E704" s="95"/>
      <c r="F704" s="96"/>
    </row>
    <row r="705">
      <c r="D705" s="57"/>
      <c r="E705" s="95"/>
      <c r="F705" s="96"/>
    </row>
    <row r="706">
      <c r="D706" s="57"/>
      <c r="E706" s="95"/>
      <c r="F706" s="96"/>
    </row>
    <row r="707">
      <c r="D707" s="57"/>
      <c r="E707" s="95"/>
      <c r="F707" s="96"/>
    </row>
    <row r="708">
      <c r="D708" s="57"/>
      <c r="E708" s="95"/>
      <c r="F708" s="96"/>
    </row>
    <row r="709">
      <c r="D709" s="57"/>
      <c r="E709" s="95"/>
      <c r="F709" s="96"/>
    </row>
    <row r="710">
      <c r="D710" s="57"/>
      <c r="E710" s="95"/>
      <c r="F710" s="96"/>
    </row>
    <row r="711">
      <c r="D711" s="57"/>
      <c r="E711" s="95"/>
      <c r="F711" s="96"/>
    </row>
    <row r="712">
      <c r="D712" s="57"/>
      <c r="E712" s="95"/>
      <c r="F712" s="96"/>
    </row>
    <row r="713">
      <c r="D713" s="57"/>
      <c r="E713" s="95"/>
      <c r="F713" s="96"/>
    </row>
    <row r="714">
      <c r="D714" s="57"/>
      <c r="E714" s="95"/>
      <c r="F714" s="96"/>
    </row>
    <row r="715">
      <c r="D715" s="57"/>
      <c r="E715" s="95"/>
      <c r="F715" s="96"/>
    </row>
    <row r="716">
      <c r="D716" s="57"/>
      <c r="E716" s="95"/>
      <c r="F716" s="96"/>
    </row>
    <row r="717">
      <c r="D717" s="57"/>
      <c r="E717" s="95"/>
      <c r="F717" s="96"/>
    </row>
    <row r="718">
      <c r="D718" s="57"/>
      <c r="E718" s="95"/>
      <c r="F718" s="96"/>
    </row>
    <row r="719">
      <c r="D719" s="57"/>
      <c r="E719" s="95"/>
      <c r="F719" s="96"/>
    </row>
    <row r="720">
      <c r="D720" s="57"/>
      <c r="E720" s="95"/>
      <c r="F720" s="96"/>
    </row>
    <row r="721">
      <c r="D721" s="57"/>
      <c r="E721" s="95"/>
      <c r="F721" s="96"/>
    </row>
    <row r="722">
      <c r="D722" s="57"/>
      <c r="E722" s="95"/>
      <c r="F722" s="96"/>
    </row>
    <row r="723">
      <c r="D723" s="57"/>
      <c r="E723" s="95"/>
      <c r="F723" s="96"/>
    </row>
    <row r="724">
      <c r="D724" s="57"/>
      <c r="E724" s="95"/>
      <c r="F724" s="96"/>
    </row>
    <row r="725">
      <c r="D725" s="57"/>
      <c r="E725" s="95"/>
      <c r="F725" s="96"/>
    </row>
    <row r="726">
      <c r="D726" s="57"/>
      <c r="E726" s="95"/>
      <c r="F726" s="96"/>
    </row>
    <row r="727">
      <c r="D727" s="57"/>
      <c r="E727" s="95"/>
      <c r="F727" s="96"/>
    </row>
    <row r="728">
      <c r="D728" s="57"/>
      <c r="E728" s="95"/>
      <c r="F728" s="96"/>
    </row>
    <row r="729">
      <c r="D729" s="57"/>
      <c r="E729" s="95"/>
      <c r="F729" s="96"/>
    </row>
    <row r="730">
      <c r="D730" s="57"/>
      <c r="E730" s="95"/>
      <c r="F730" s="96"/>
    </row>
    <row r="731">
      <c r="D731" s="57"/>
      <c r="E731" s="95"/>
      <c r="F731" s="96"/>
    </row>
    <row r="732">
      <c r="D732" s="57"/>
      <c r="E732" s="95"/>
      <c r="F732" s="96"/>
    </row>
    <row r="733">
      <c r="D733" s="57"/>
      <c r="E733" s="95"/>
      <c r="F733" s="96"/>
    </row>
    <row r="734">
      <c r="D734" s="57"/>
      <c r="E734" s="95"/>
      <c r="F734" s="96"/>
    </row>
    <row r="735">
      <c r="D735" s="57"/>
      <c r="E735" s="95"/>
      <c r="F735" s="96"/>
    </row>
    <row r="736">
      <c r="D736" s="57"/>
      <c r="E736" s="95"/>
      <c r="F736" s="96"/>
    </row>
    <row r="737">
      <c r="D737" s="57"/>
      <c r="E737" s="95"/>
      <c r="F737" s="96"/>
    </row>
    <row r="738">
      <c r="D738" s="57"/>
      <c r="E738" s="95"/>
      <c r="F738" s="96"/>
    </row>
    <row r="739">
      <c r="D739" s="57"/>
      <c r="E739" s="95"/>
      <c r="F739" s="96"/>
    </row>
    <row r="740">
      <c r="D740" s="57"/>
      <c r="E740" s="95"/>
      <c r="F740" s="96"/>
    </row>
    <row r="741">
      <c r="D741" s="57"/>
      <c r="E741" s="95"/>
      <c r="F741" s="96"/>
    </row>
    <row r="742">
      <c r="D742" s="57"/>
      <c r="E742" s="95"/>
      <c r="F742" s="96"/>
    </row>
    <row r="743">
      <c r="D743" s="57"/>
      <c r="E743" s="95"/>
      <c r="F743" s="96"/>
    </row>
    <row r="744">
      <c r="D744" s="57"/>
      <c r="E744" s="95"/>
      <c r="F744" s="96"/>
    </row>
    <row r="745">
      <c r="D745" s="57"/>
      <c r="E745" s="95"/>
      <c r="F745" s="96"/>
    </row>
    <row r="746">
      <c r="D746" s="57"/>
      <c r="E746" s="95"/>
      <c r="F746" s="96"/>
    </row>
    <row r="747">
      <c r="D747" s="57"/>
      <c r="E747" s="95"/>
      <c r="F747" s="96"/>
    </row>
    <row r="748">
      <c r="D748" s="57"/>
      <c r="E748" s="95"/>
      <c r="F748" s="96"/>
    </row>
    <row r="749">
      <c r="D749" s="57"/>
      <c r="E749" s="95"/>
      <c r="F749" s="96"/>
    </row>
    <row r="750">
      <c r="D750" s="57"/>
      <c r="E750" s="95"/>
      <c r="F750" s="96"/>
    </row>
    <row r="751">
      <c r="D751" s="57"/>
      <c r="E751" s="95"/>
      <c r="F751" s="96"/>
    </row>
    <row r="752">
      <c r="D752" s="57"/>
      <c r="E752" s="95"/>
      <c r="F752" s="96"/>
    </row>
    <row r="753">
      <c r="D753" s="57"/>
      <c r="E753" s="95"/>
      <c r="F753" s="96"/>
    </row>
    <row r="754">
      <c r="D754" s="57"/>
      <c r="E754" s="95"/>
      <c r="F754" s="96"/>
    </row>
    <row r="755">
      <c r="D755" s="57"/>
      <c r="E755" s="95"/>
      <c r="F755" s="96"/>
    </row>
    <row r="756">
      <c r="D756" s="57"/>
      <c r="E756" s="95"/>
      <c r="F756" s="96"/>
    </row>
    <row r="757">
      <c r="D757" s="57"/>
      <c r="E757" s="95"/>
      <c r="F757" s="96"/>
    </row>
    <row r="758">
      <c r="D758" s="57"/>
      <c r="E758" s="95"/>
      <c r="F758" s="96"/>
    </row>
    <row r="759">
      <c r="D759" s="57"/>
      <c r="E759" s="95"/>
      <c r="F759" s="96"/>
    </row>
    <row r="760">
      <c r="D760" s="57"/>
      <c r="E760" s="95"/>
      <c r="F760" s="96"/>
    </row>
    <row r="761">
      <c r="D761" s="57"/>
      <c r="E761" s="95"/>
      <c r="F761" s="96"/>
    </row>
    <row r="762">
      <c r="D762" s="57"/>
      <c r="E762" s="95"/>
      <c r="F762" s="96"/>
    </row>
    <row r="763">
      <c r="D763" s="57"/>
      <c r="E763" s="95"/>
      <c r="F763" s="96"/>
    </row>
    <row r="764">
      <c r="D764" s="57"/>
      <c r="E764" s="95"/>
      <c r="F764" s="96"/>
    </row>
    <row r="765">
      <c r="D765" s="57"/>
      <c r="E765" s="95"/>
      <c r="F765" s="96"/>
    </row>
    <row r="766">
      <c r="D766" s="57"/>
      <c r="E766" s="95"/>
      <c r="F766" s="96"/>
    </row>
    <row r="767">
      <c r="D767" s="57"/>
      <c r="E767" s="95"/>
      <c r="F767" s="96"/>
    </row>
    <row r="768">
      <c r="D768" s="57"/>
      <c r="E768" s="95"/>
      <c r="F768" s="96"/>
    </row>
    <row r="769">
      <c r="D769" s="57"/>
      <c r="E769" s="95"/>
      <c r="F769" s="96"/>
    </row>
    <row r="770">
      <c r="D770" s="57"/>
      <c r="E770" s="95"/>
      <c r="F770" s="96"/>
    </row>
    <row r="771">
      <c r="D771" s="57"/>
      <c r="E771" s="95"/>
      <c r="F771" s="96"/>
    </row>
    <row r="772">
      <c r="D772" s="57"/>
      <c r="E772" s="95"/>
      <c r="F772" s="96"/>
    </row>
    <row r="773">
      <c r="D773" s="57"/>
      <c r="E773" s="95"/>
      <c r="F773" s="96"/>
    </row>
    <row r="774">
      <c r="D774" s="57"/>
      <c r="E774" s="95"/>
      <c r="F774" s="96"/>
    </row>
    <row r="775">
      <c r="D775" s="57"/>
      <c r="E775" s="95"/>
      <c r="F775" s="96"/>
    </row>
    <row r="776">
      <c r="D776" s="57"/>
      <c r="E776" s="95"/>
      <c r="F776" s="96"/>
    </row>
    <row r="777">
      <c r="D777" s="57"/>
      <c r="E777" s="95"/>
      <c r="F777" s="96"/>
    </row>
    <row r="778">
      <c r="D778" s="57"/>
      <c r="E778" s="95"/>
      <c r="F778" s="96"/>
    </row>
    <row r="779">
      <c r="D779" s="57"/>
      <c r="E779" s="95"/>
      <c r="F779" s="96"/>
    </row>
    <row r="780">
      <c r="D780" s="57"/>
      <c r="E780" s="95"/>
      <c r="F780" s="96"/>
    </row>
    <row r="781">
      <c r="D781" s="57"/>
      <c r="E781" s="95"/>
      <c r="F781" s="96"/>
    </row>
    <row r="782">
      <c r="D782" s="57"/>
      <c r="E782" s="95"/>
      <c r="F782" s="96"/>
    </row>
    <row r="783">
      <c r="D783" s="57"/>
      <c r="E783" s="95"/>
      <c r="F783" s="96"/>
    </row>
    <row r="784">
      <c r="D784" s="57"/>
      <c r="E784" s="95"/>
      <c r="F784" s="96"/>
    </row>
    <row r="785">
      <c r="D785" s="57"/>
      <c r="E785" s="95"/>
      <c r="F785" s="96"/>
    </row>
    <row r="786">
      <c r="D786" s="57"/>
      <c r="E786" s="95"/>
      <c r="F786" s="96"/>
    </row>
    <row r="787">
      <c r="D787" s="57"/>
      <c r="E787" s="95"/>
      <c r="F787" s="96"/>
    </row>
    <row r="788">
      <c r="D788" s="57"/>
      <c r="E788" s="95"/>
      <c r="F788" s="96"/>
    </row>
    <row r="789">
      <c r="D789" s="57"/>
      <c r="E789" s="95"/>
      <c r="F789" s="96"/>
    </row>
    <row r="790">
      <c r="D790" s="57"/>
      <c r="E790" s="95"/>
      <c r="F790" s="96"/>
    </row>
    <row r="791">
      <c r="D791" s="57"/>
      <c r="E791" s="95"/>
      <c r="F791" s="96"/>
    </row>
    <row r="792">
      <c r="D792" s="57"/>
      <c r="E792" s="95"/>
      <c r="F792" s="96"/>
    </row>
    <row r="793">
      <c r="D793" s="57"/>
      <c r="E793" s="95"/>
      <c r="F793" s="96"/>
    </row>
    <row r="794">
      <c r="D794" s="57"/>
      <c r="E794" s="95"/>
      <c r="F794" s="96"/>
    </row>
    <row r="795">
      <c r="D795" s="57"/>
      <c r="E795" s="95"/>
      <c r="F795" s="96"/>
    </row>
    <row r="796">
      <c r="D796" s="57"/>
      <c r="E796" s="95"/>
      <c r="F796" s="96"/>
    </row>
    <row r="797">
      <c r="D797" s="57"/>
      <c r="E797" s="95"/>
      <c r="F797" s="96"/>
    </row>
    <row r="798">
      <c r="D798" s="57"/>
      <c r="E798" s="95"/>
      <c r="F798" s="96"/>
    </row>
    <row r="799">
      <c r="D799" s="57"/>
      <c r="E799" s="95"/>
      <c r="F799" s="96"/>
    </row>
    <row r="800">
      <c r="D800" s="57"/>
      <c r="E800" s="95"/>
      <c r="F800" s="96"/>
    </row>
    <row r="801">
      <c r="D801" s="57"/>
      <c r="E801" s="95"/>
      <c r="F801" s="96"/>
    </row>
    <row r="802">
      <c r="D802" s="57"/>
      <c r="E802" s="95"/>
      <c r="F802" s="96"/>
    </row>
    <row r="803">
      <c r="D803" s="57"/>
      <c r="E803" s="95"/>
      <c r="F803" s="96"/>
    </row>
    <row r="804">
      <c r="D804" s="57"/>
      <c r="E804" s="95"/>
      <c r="F804" s="96"/>
    </row>
    <row r="805">
      <c r="D805" s="57"/>
      <c r="E805" s="95"/>
      <c r="F805" s="96"/>
    </row>
    <row r="806">
      <c r="D806" s="57"/>
      <c r="E806" s="95"/>
      <c r="F806" s="96"/>
    </row>
    <row r="807">
      <c r="D807" s="57"/>
      <c r="E807" s="95"/>
      <c r="F807" s="96"/>
    </row>
    <row r="808">
      <c r="D808" s="57"/>
      <c r="E808" s="95"/>
      <c r="F808" s="96"/>
    </row>
    <row r="809">
      <c r="D809" s="57"/>
      <c r="E809" s="95"/>
      <c r="F809" s="96"/>
    </row>
    <row r="810">
      <c r="D810" s="57"/>
      <c r="E810" s="95"/>
      <c r="F810" s="96"/>
    </row>
    <row r="811">
      <c r="D811" s="57"/>
      <c r="E811" s="95"/>
      <c r="F811" s="96"/>
    </row>
    <row r="812">
      <c r="D812" s="57"/>
      <c r="E812" s="95"/>
      <c r="F812" s="96"/>
    </row>
    <row r="813">
      <c r="D813" s="57"/>
      <c r="E813" s="95"/>
      <c r="F813" s="96"/>
    </row>
    <row r="814">
      <c r="D814" s="57"/>
      <c r="E814" s="95"/>
      <c r="F814" s="96"/>
    </row>
    <row r="815">
      <c r="D815" s="57"/>
      <c r="E815" s="95"/>
      <c r="F815" s="96"/>
    </row>
    <row r="816">
      <c r="D816" s="57"/>
      <c r="E816" s="95"/>
      <c r="F816" s="96"/>
    </row>
    <row r="817">
      <c r="D817" s="57"/>
      <c r="E817" s="95"/>
      <c r="F817" s="96"/>
    </row>
    <row r="818">
      <c r="D818" s="57"/>
      <c r="E818" s="95"/>
      <c r="F818" s="96"/>
    </row>
    <row r="819">
      <c r="D819" s="57"/>
      <c r="E819" s="95"/>
      <c r="F819" s="96"/>
    </row>
    <row r="820">
      <c r="D820" s="57"/>
      <c r="E820" s="95"/>
      <c r="F820" s="96"/>
    </row>
    <row r="821">
      <c r="D821" s="57"/>
      <c r="E821" s="95"/>
      <c r="F821" s="96"/>
    </row>
    <row r="822">
      <c r="D822" s="57"/>
      <c r="E822" s="95"/>
      <c r="F822" s="96"/>
    </row>
    <row r="823">
      <c r="D823" s="57"/>
      <c r="E823" s="95"/>
      <c r="F823" s="96"/>
    </row>
    <row r="824">
      <c r="D824" s="57"/>
      <c r="E824" s="95"/>
      <c r="F824" s="96"/>
    </row>
    <row r="825">
      <c r="D825" s="57"/>
      <c r="E825" s="95"/>
      <c r="F825" s="96"/>
    </row>
    <row r="826">
      <c r="D826" s="57"/>
      <c r="E826" s="95"/>
      <c r="F826" s="96"/>
    </row>
    <row r="827">
      <c r="D827" s="57"/>
      <c r="E827" s="95"/>
      <c r="F827" s="96"/>
    </row>
    <row r="828">
      <c r="D828" s="57"/>
      <c r="E828" s="95"/>
      <c r="F828" s="96"/>
    </row>
    <row r="829">
      <c r="D829" s="57"/>
      <c r="E829" s="95"/>
      <c r="F829" s="96"/>
    </row>
    <row r="830">
      <c r="D830" s="57"/>
      <c r="E830" s="95"/>
      <c r="F830" s="96"/>
    </row>
    <row r="831">
      <c r="D831" s="57"/>
      <c r="E831" s="95"/>
      <c r="F831" s="96"/>
    </row>
    <row r="832">
      <c r="D832" s="57"/>
      <c r="E832" s="95"/>
      <c r="F832" s="96"/>
    </row>
    <row r="833">
      <c r="D833" s="57"/>
      <c r="E833" s="95"/>
      <c r="F833" s="96"/>
    </row>
    <row r="834">
      <c r="D834" s="57"/>
      <c r="E834" s="95"/>
      <c r="F834" s="96"/>
    </row>
    <row r="835">
      <c r="D835" s="57"/>
      <c r="E835" s="95"/>
      <c r="F835" s="96"/>
    </row>
    <row r="836">
      <c r="D836" s="57"/>
      <c r="E836" s="95"/>
      <c r="F836" s="96"/>
    </row>
    <row r="837">
      <c r="D837" s="57"/>
      <c r="E837" s="95"/>
      <c r="F837" s="96"/>
    </row>
    <row r="838">
      <c r="D838" s="57"/>
      <c r="E838" s="95"/>
      <c r="F838" s="96"/>
    </row>
    <row r="839">
      <c r="D839" s="57"/>
      <c r="E839" s="95"/>
      <c r="F839" s="96"/>
    </row>
    <row r="840">
      <c r="D840" s="57"/>
      <c r="E840" s="95"/>
      <c r="F840" s="96"/>
    </row>
    <row r="841">
      <c r="D841" s="57"/>
      <c r="E841" s="95"/>
      <c r="F841" s="96"/>
    </row>
    <row r="842">
      <c r="D842" s="57"/>
      <c r="E842" s="95"/>
      <c r="F842" s="96"/>
    </row>
    <row r="843">
      <c r="D843" s="57"/>
      <c r="E843" s="95"/>
      <c r="F843" s="96"/>
    </row>
    <row r="844">
      <c r="D844" s="57"/>
      <c r="E844" s="95"/>
      <c r="F844" s="96"/>
    </row>
    <row r="845">
      <c r="D845" s="57"/>
      <c r="E845" s="95"/>
      <c r="F845" s="96"/>
    </row>
    <row r="846">
      <c r="D846" s="57"/>
      <c r="E846" s="95"/>
      <c r="F846" s="96"/>
    </row>
    <row r="847">
      <c r="D847" s="57"/>
      <c r="E847" s="95"/>
      <c r="F847" s="96"/>
    </row>
    <row r="848">
      <c r="D848" s="57"/>
      <c r="E848" s="95"/>
      <c r="F848" s="96"/>
    </row>
    <row r="849">
      <c r="D849" s="57"/>
      <c r="E849" s="95"/>
      <c r="F849" s="96"/>
    </row>
    <row r="850">
      <c r="D850" s="57"/>
      <c r="E850" s="95"/>
      <c r="F850" s="96"/>
    </row>
    <row r="851">
      <c r="D851" s="57"/>
      <c r="E851" s="95"/>
      <c r="F851" s="96"/>
    </row>
    <row r="852">
      <c r="D852" s="57"/>
      <c r="E852" s="95"/>
      <c r="F852" s="96"/>
    </row>
    <row r="853">
      <c r="D853" s="57"/>
      <c r="E853" s="95"/>
      <c r="F853" s="96"/>
    </row>
    <row r="854">
      <c r="D854" s="57"/>
      <c r="E854" s="95"/>
      <c r="F854" s="96"/>
    </row>
    <row r="855">
      <c r="D855" s="57"/>
      <c r="E855" s="95"/>
      <c r="F855" s="96"/>
    </row>
    <row r="856">
      <c r="D856" s="57"/>
      <c r="E856" s="95"/>
      <c r="F856" s="96"/>
    </row>
    <row r="857">
      <c r="D857" s="57"/>
      <c r="E857" s="95"/>
      <c r="F857" s="96"/>
    </row>
    <row r="858">
      <c r="D858" s="57"/>
      <c r="E858" s="95"/>
      <c r="F858" s="96"/>
    </row>
    <row r="859">
      <c r="D859" s="57"/>
      <c r="E859" s="95"/>
      <c r="F859" s="96"/>
    </row>
    <row r="860">
      <c r="D860" s="57"/>
      <c r="E860" s="95"/>
      <c r="F860" s="96"/>
    </row>
    <row r="861">
      <c r="D861" s="57"/>
      <c r="E861" s="95"/>
      <c r="F861" s="96"/>
    </row>
    <row r="862">
      <c r="D862" s="57"/>
      <c r="E862" s="95"/>
      <c r="F862" s="96"/>
    </row>
    <row r="863">
      <c r="D863" s="57"/>
      <c r="E863" s="95"/>
      <c r="F863" s="96"/>
    </row>
    <row r="864">
      <c r="D864" s="57"/>
      <c r="E864" s="95"/>
      <c r="F864" s="96"/>
    </row>
    <row r="865">
      <c r="D865" s="57"/>
      <c r="E865" s="95"/>
      <c r="F865" s="96"/>
    </row>
    <row r="866">
      <c r="D866" s="57"/>
      <c r="E866" s="95"/>
      <c r="F866" s="96"/>
    </row>
    <row r="867">
      <c r="D867" s="57"/>
      <c r="E867" s="95"/>
      <c r="F867" s="96"/>
    </row>
    <row r="868">
      <c r="D868" s="57"/>
      <c r="E868" s="95"/>
      <c r="F868" s="96"/>
    </row>
    <row r="869">
      <c r="D869" s="57"/>
      <c r="E869" s="95"/>
      <c r="F869" s="96"/>
    </row>
    <row r="870">
      <c r="D870" s="57"/>
      <c r="E870" s="95"/>
      <c r="F870" s="96"/>
    </row>
    <row r="871">
      <c r="D871" s="57"/>
      <c r="E871" s="95"/>
      <c r="F871" s="96"/>
    </row>
    <row r="872">
      <c r="D872" s="57"/>
      <c r="E872" s="95"/>
      <c r="F872" s="96"/>
    </row>
    <row r="873">
      <c r="D873" s="57"/>
      <c r="E873" s="95"/>
      <c r="F873" s="96"/>
    </row>
    <row r="874">
      <c r="D874" s="57"/>
      <c r="E874" s="95"/>
      <c r="F874" s="96"/>
    </row>
    <row r="875">
      <c r="D875" s="57"/>
      <c r="E875" s="95"/>
      <c r="F875" s="96"/>
    </row>
    <row r="876">
      <c r="D876" s="57"/>
      <c r="E876" s="95"/>
      <c r="F876" s="96"/>
    </row>
    <row r="877">
      <c r="D877" s="57"/>
      <c r="E877" s="95"/>
      <c r="F877" s="96"/>
    </row>
    <row r="878">
      <c r="D878" s="57"/>
      <c r="E878" s="95"/>
      <c r="F878" s="96"/>
    </row>
    <row r="879">
      <c r="D879" s="57"/>
      <c r="E879" s="95"/>
      <c r="F879" s="96"/>
    </row>
    <row r="880">
      <c r="D880" s="57"/>
      <c r="E880" s="95"/>
      <c r="F880" s="96"/>
    </row>
    <row r="881">
      <c r="D881" s="57"/>
      <c r="E881" s="95"/>
      <c r="F881" s="96"/>
    </row>
    <row r="882">
      <c r="D882" s="57"/>
      <c r="E882" s="95"/>
      <c r="F882" s="96"/>
    </row>
    <row r="883">
      <c r="D883" s="57"/>
      <c r="E883" s="95"/>
      <c r="F883" s="96"/>
    </row>
    <row r="884">
      <c r="D884" s="57"/>
      <c r="E884" s="95"/>
      <c r="F884" s="96"/>
    </row>
    <row r="885">
      <c r="D885" s="57"/>
      <c r="E885" s="95"/>
      <c r="F885" s="96"/>
    </row>
    <row r="886">
      <c r="D886" s="57"/>
      <c r="E886" s="95"/>
      <c r="F886" s="96"/>
    </row>
    <row r="887">
      <c r="D887" s="57"/>
      <c r="E887" s="95"/>
      <c r="F887" s="96"/>
    </row>
    <row r="888">
      <c r="D888" s="57"/>
      <c r="E888" s="95"/>
      <c r="F888" s="96"/>
    </row>
    <row r="889">
      <c r="D889" s="57"/>
      <c r="E889" s="95"/>
      <c r="F889" s="96"/>
    </row>
    <row r="890">
      <c r="D890" s="57"/>
      <c r="E890" s="95"/>
      <c r="F890" s="96"/>
    </row>
    <row r="891">
      <c r="D891" s="57"/>
      <c r="E891" s="95"/>
      <c r="F891" s="96"/>
    </row>
    <row r="892">
      <c r="D892" s="57"/>
      <c r="E892" s="95"/>
      <c r="F892" s="96"/>
    </row>
    <row r="893">
      <c r="D893" s="57"/>
      <c r="E893" s="95"/>
      <c r="F893" s="96"/>
    </row>
    <row r="894">
      <c r="D894" s="57"/>
      <c r="E894" s="95"/>
      <c r="F894" s="96"/>
    </row>
    <row r="895">
      <c r="D895" s="57"/>
      <c r="E895" s="95"/>
      <c r="F895" s="96"/>
    </row>
    <row r="896">
      <c r="D896" s="57"/>
      <c r="E896" s="95"/>
      <c r="F896" s="96"/>
    </row>
    <row r="897">
      <c r="D897" s="57"/>
      <c r="E897" s="95"/>
      <c r="F897" s="96"/>
    </row>
    <row r="898">
      <c r="D898" s="57"/>
      <c r="E898" s="95"/>
      <c r="F898" s="96"/>
    </row>
    <row r="899">
      <c r="D899" s="57"/>
      <c r="E899" s="95"/>
      <c r="F899" s="96"/>
    </row>
    <row r="900">
      <c r="D900" s="57"/>
      <c r="E900" s="95"/>
      <c r="F900" s="96"/>
    </row>
    <row r="901">
      <c r="D901" s="57"/>
      <c r="E901" s="95"/>
      <c r="F901" s="96"/>
    </row>
    <row r="902">
      <c r="D902" s="57"/>
      <c r="E902" s="95"/>
      <c r="F902" s="96"/>
    </row>
    <row r="903">
      <c r="D903" s="57"/>
      <c r="E903" s="95"/>
      <c r="F903" s="96"/>
    </row>
    <row r="904">
      <c r="D904" s="57"/>
      <c r="E904" s="95"/>
      <c r="F904" s="96"/>
    </row>
    <row r="905">
      <c r="D905" s="57"/>
      <c r="E905" s="95"/>
      <c r="F905" s="96"/>
    </row>
    <row r="906">
      <c r="D906" s="57"/>
      <c r="E906" s="95"/>
      <c r="F906" s="96"/>
    </row>
    <row r="907">
      <c r="D907" s="57"/>
      <c r="E907" s="95"/>
      <c r="F907" s="96"/>
    </row>
    <row r="908">
      <c r="D908" s="57"/>
      <c r="E908" s="95"/>
      <c r="F908" s="96"/>
    </row>
    <row r="909">
      <c r="D909" s="57"/>
      <c r="E909" s="95"/>
      <c r="F909" s="96"/>
    </row>
    <row r="910">
      <c r="D910" s="57"/>
      <c r="E910" s="95"/>
      <c r="F910" s="96"/>
    </row>
    <row r="911">
      <c r="D911" s="57"/>
      <c r="E911" s="95"/>
      <c r="F911" s="96"/>
    </row>
    <row r="912">
      <c r="D912" s="57"/>
      <c r="E912" s="95"/>
      <c r="F912" s="96"/>
    </row>
    <row r="913">
      <c r="D913" s="57"/>
      <c r="E913" s="95"/>
      <c r="F913" s="96"/>
    </row>
    <row r="914">
      <c r="D914" s="57"/>
      <c r="E914" s="95"/>
      <c r="F914" s="96"/>
    </row>
    <row r="915">
      <c r="D915" s="57"/>
      <c r="E915" s="95"/>
      <c r="F915" s="96"/>
    </row>
    <row r="916">
      <c r="D916" s="57"/>
      <c r="E916" s="95"/>
      <c r="F916" s="96"/>
    </row>
    <row r="917">
      <c r="D917" s="57"/>
      <c r="E917" s="95"/>
      <c r="F917" s="96"/>
    </row>
    <row r="918">
      <c r="D918" s="57"/>
      <c r="E918" s="95"/>
      <c r="F918" s="96"/>
    </row>
    <row r="919">
      <c r="D919" s="57"/>
      <c r="E919" s="95"/>
      <c r="F919" s="96"/>
    </row>
    <row r="920">
      <c r="D920" s="57"/>
      <c r="E920" s="95"/>
      <c r="F920" s="96"/>
    </row>
    <row r="921">
      <c r="D921" s="57"/>
      <c r="E921" s="95"/>
      <c r="F921" s="96"/>
    </row>
    <row r="922">
      <c r="D922" s="57"/>
      <c r="E922" s="95"/>
      <c r="F922" s="96"/>
    </row>
    <row r="923">
      <c r="D923" s="57"/>
      <c r="E923" s="95"/>
      <c r="F923" s="96"/>
    </row>
    <row r="924">
      <c r="D924" s="57"/>
      <c r="E924" s="95"/>
      <c r="F924" s="96"/>
    </row>
    <row r="925">
      <c r="D925" s="57"/>
      <c r="E925" s="95"/>
      <c r="F925" s="96"/>
    </row>
    <row r="926">
      <c r="D926" s="57"/>
      <c r="E926" s="95"/>
      <c r="F926" s="96"/>
    </row>
    <row r="927">
      <c r="D927" s="57"/>
      <c r="E927" s="95"/>
      <c r="F927" s="96"/>
    </row>
    <row r="928">
      <c r="D928" s="57"/>
      <c r="E928" s="95"/>
      <c r="F928" s="96"/>
    </row>
    <row r="929">
      <c r="D929" s="57"/>
      <c r="E929" s="95"/>
      <c r="F929" s="96"/>
    </row>
    <row r="930">
      <c r="D930" s="57"/>
      <c r="E930" s="95"/>
      <c r="F930" s="96"/>
    </row>
    <row r="931">
      <c r="D931" s="57"/>
      <c r="E931" s="95"/>
      <c r="F931" s="96"/>
    </row>
    <row r="932">
      <c r="D932" s="57"/>
      <c r="E932" s="95"/>
      <c r="F932" s="96"/>
    </row>
    <row r="933">
      <c r="D933" s="57"/>
      <c r="E933" s="95"/>
      <c r="F933" s="96"/>
    </row>
    <row r="934">
      <c r="D934" s="57"/>
      <c r="E934" s="95"/>
      <c r="F934" s="96"/>
    </row>
    <row r="935">
      <c r="D935" s="57"/>
      <c r="E935" s="95"/>
      <c r="F935" s="96"/>
    </row>
    <row r="936">
      <c r="D936" s="57"/>
      <c r="E936" s="95"/>
      <c r="F936" s="96"/>
    </row>
    <row r="937">
      <c r="D937" s="57"/>
      <c r="E937" s="95"/>
      <c r="F937" s="96"/>
    </row>
    <row r="938">
      <c r="D938" s="57"/>
      <c r="E938" s="95"/>
      <c r="F938" s="96"/>
    </row>
    <row r="939">
      <c r="D939" s="57"/>
      <c r="E939" s="95"/>
      <c r="F939" s="96"/>
    </row>
    <row r="940">
      <c r="D940" s="57"/>
      <c r="E940" s="95"/>
      <c r="F940" s="96"/>
    </row>
    <row r="941">
      <c r="D941" s="57"/>
      <c r="E941" s="95"/>
      <c r="F941" s="96"/>
    </row>
    <row r="942">
      <c r="D942" s="57"/>
      <c r="E942" s="95"/>
      <c r="F942" s="96"/>
    </row>
    <row r="943">
      <c r="D943" s="57"/>
      <c r="E943" s="95"/>
      <c r="F943" s="96"/>
    </row>
    <row r="944">
      <c r="D944" s="57"/>
      <c r="E944" s="95"/>
      <c r="F944" s="96"/>
    </row>
    <row r="945">
      <c r="D945" s="57"/>
      <c r="E945" s="95"/>
      <c r="F945" s="96"/>
    </row>
    <row r="946">
      <c r="D946" s="57"/>
      <c r="E946" s="95"/>
      <c r="F946" s="96"/>
    </row>
    <row r="947">
      <c r="D947" s="57"/>
      <c r="E947" s="95"/>
      <c r="F947" s="96"/>
    </row>
    <row r="948">
      <c r="D948" s="57"/>
      <c r="E948" s="95"/>
      <c r="F948" s="96"/>
    </row>
    <row r="949">
      <c r="D949" s="57"/>
      <c r="E949" s="95"/>
      <c r="F949" s="96"/>
    </row>
    <row r="950">
      <c r="D950" s="57"/>
      <c r="E950" s="95"/>
      <c r="F950" s="96"/>
    </row>
    <row r="951">
      <c r="D951" s="57"/>
      <c r="E951" s="95"/>
      <c r="F951" s="96"/>
    </row>
    <row r="952">
      <c r="D952" s="57"/>
      <c r="E952" s="95"/>
      <c r="F952" s="96"/>
    </row>
    <row r="953">
      <c r="D953" s="57"/>
      <c r="E953" s="95"/>
      <c r="F953" s="96"/>
    </row>
    <row r="954">
      <c r="D954" s="57"/>
      <c r="E954" s="95"/>
      <c r="F954" s="96"/>
    </row>
    <row r="955">
      <c r="D955" s="57"/>
      <c r="E955" s="95"/>
      <c r="F955" s="96"/>
    </row>
    <row r="956">
      <c r="D956" s="57"/>
      <c r="E956" s="95"/>
      <c r="F956" s="96"/>
    </row>
    <row r="957">
      <c r="D957" s="57"/>
      <c r="E957" s="95"/>
      <c r="F957" s="96"/>
    </row>
    <row r="958">
      <c r="D958" s="57"/>
      <c r="E958" s="95"/>
      <c r="F958" s="96"/>
    </row>
    <row r="959">
      <c r="D959" s="57"/>
      <c r="E959" s="95"/>
      <c r="F959" s="96"/>
    </row>
    <row r="960">
      <c r="D960" s="57"/>
      <c r="E960" s="95"/>
      <c r="F960" s="96"/>
    </row>
    <row r="961">
      <c r="D961" s="57"/>
      <c r="E961" s="95"/>
      <c r="F961" s="96"/>
    </row>
    <row r="962">
      <c r="D962" s="57"/>
      <c r="E962" s="95"/>
      <c r="F962" s="96"/>
    </row>
    <row r="963">
      <c r="D963" s="57"/>
      <c r="E963" s="95"/>
      <c r="F963" s="96"/>
    </row>
    <row r="964">
      <c r="D964" s="57"/>
      <c r="E964" s="95"/>
      <c r="F964" s="96"/>
    </row>
    <row r="965">
      <c r="D965" s="57"/>
      <c r="E965" s="95"/>
      <c r="F965" s="96"/>
    </row>
    <row r="966">
      <c r="D966" s="57"/>
      <c r="E966" s="95"/>
      <c r="F966" s="96"/>
    </row>
    <row r="967">
      <c r="D967" s="57"/>
      <c r="E967" s="95"/>
      <c r="F967" s="96"/>
    </row>
    <row r="968">
      <c r="D968" s="57"/>
      <c r="E968" s="95"/>
      <c r="F968" s="96"/>
    </row>
    <row r="969">
      <c r="D969" s="57"/>
      <c r="E969" s="95"/>
      <c r="F969" s="96"/>
    </row>
    <row r="970">
      <c r="D970" s="57"/>
      <c r="E970" s="95"/>
      <c r="F970" s="96"/>
    </row>
    <row r="971">
      <c r="D971" s="57"/>
      <c r="E971" s="95"/>
      <c r="F971" s="96"/>
    </row>
    <row r="972">
      <c r="D972" s="57"/>
      <c r="E972" s="95"/>
      <c r="F972" s="96"/>
    </row>
    <row r="973">
      <c r="D973" s="57"/>
      <c r="E973" s="95"/>
      <c r="F973" s="96"/>
    </row>
    <row r="974">
      <c r="D974" s="57"/>
      <c r="E974" s="95"/>
      <c r="F974" s="96"/>
    </row>
    <row r="975">
      <c r="D975" s="57"/>
      <c r="E975" s="95"/>
      <c r="F975" s="96"/>
    </row>
    <row r="976">
      <c r="D976" s="57"/>
      <c r="E976" s="95"/>
      <c r="F976" s="96"/>
    </row>
    <row r="977">
      <c r="D977" s="57"/>
      <c r="E977" s="95"/>
      <c r="F977" s="96"/>
    </row>
    <row r="978">
      <c r="D978" s="57"/>
      <c r="E978" s="95"/>
      <c r="F978" s="96"/>
    </row>
    <row r="979">
      <c r="D979" s="57"/>
      <c r="E979" s="95"/>
      <c r="F979" s="96"/>
    </row>
    <row r="980">
      <c r="D980" s="57"/>
      <c r="E980" s="95"/>
      <c r="F980" s="96"/>
    </row>
    <row r="981">
      <c r="D981" s="57"/>
      <c r="E981" s="95"/>
      <c r="F981" s="96"/>
    </row>
    <row r="982">
      <c r="D982" s="57"/>
      <c r="E982" s="95"/>
      <c r="F982" s="96"/>
    </row>
    <row r="983">
      <c r="D983" s="57"/>
      <c r="E983" s="95"/>
      <c r="F983" s="96"/>
    </row>
    <row r="984">
      <c r="D984" s="57"/>
      <c r="E984" s="95"/>
      <c r="F984" s="96"/>
    </row>
    <row r="985">
      <c r="D985" s="57"/>
      <c r="E985" s="95"/>
      <c r="F985" s="96"/>
    </row>
    <row r="986">
      <c r="D986" s="57"/>
      <c r="E986" s="95"/>
      <c r="F986" s="96"/>
    </row>
    <row r="987">
      <c r="D987" s="57"/>
      <c r="E987" s="95"/>
      <c r="F987" s="96"/>
    </row>
    <row r="988">
      <c r="D988" s="57"/>
      <c r="E988" s="95"/>
      <c r="F988" s="96"/>
    </row>
    <row r="989">
      <c r="D989" s="57"/>
      <c r="E989" s="95"/>
      <c r="F989" s="96"/>
    </row>
    <row r="990">
      <c r="D990" s="57"/>
      <c r="E990" s="95"/>
      <c r="F990" s="96"/>
    </row>
    <row r="991">
      <c r="D991" s="57"/>
      <c r="E991" s="95"/>
      <c r="F991" s="96"/>
    </row>
    <row r="992">
      <c r="D992" s="57"/>
      <c r="E992" s="95"/>
      <c r="F992" s="96"/>
    </row>
    <row r="993">
      <c r="D993" s="57"/>
      <c r="E993" s="95"/>
      <c r="F993" s="96"/>
    </row>
    <row r="994">
      <c r="D994" s="57"/>
      <c r="E994" s="95"/>
      <c r="F994" s="96"/>
    </row>
    <row r="995">
      <c r="D995" s="57"/>
      <c r="E995" s="95"/>
      <c r="F995" s="96"/>
    </row>
    <row r="996">
      <c r="D996" s="57"/>
      <c r="E996" s="95"/>
      <c r="F996" s="96"/>
    </row>
    <row r="997">
      <c r="D997" s="57"/>
      <c r="E997" s="95"/>
      <c r="F997" s="96"/>
    </row>
    <row r="998">
      <c r="D998" s="57"/>
      <c r="E998" s="95"/>
      <c r="F998" s="96"/>
    </row>
    <row r="999">
      <c r="D999" s="57"/>
      <c r="E999" s="95"/>
      <c r="F999" s="96"/>
    </row>
    <row r="1000">
      <c r="D1000" s="57"/>
      <c r="E1000" s="95"/>
      <c r="F1000" s="96"/>
    </row>
    <row r="1001">
      <c r="D1001" s="57"/>
      <c r="E1001" s="95"/>
      <c r="F1001" s="96"/>
    </row>
    <row r="1002">
      <c r="D1002" s="57"/>
      <c r="E1002" s="95"/>
      <c r="F1002" s="9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9.0"/>
    <col customWidth="1" min="3" max="3" width="13.63"/>
    <col customWidth="1" min="4" max="4" width="11.38"/>
  </cols>
  <sheetData>
    <row r="1">
      <c r="A1" s="84"/>
      <c r="B1" s="5" t="s">
        <v>668</v>
      </c>
      <c r="C1" s="83" t="s">
        <v>669</v>
      </c>
      <c r="D1" s="83" t="s">
        <v>670</v>
      </c>
      <c r="E1" s="83" t="s">
        <v>671</v>
      </c>
      <c r="F1" s="99" t="s">
        <v>672</v>
      </c>
    </row>
    <row r="2">
      <c r="A2" s="24" t="s">
        <v>137</v>
      </c>
      <c r="B2" s="66" t="s">
        <v>211</v>
      </c>
      <c r="C2" s="97">
        <v>1800000.0</v>
      </c>
      <c r="D2" s="5">
        <f>SUMIF(Data_Log!D:D, A2, Data_Log!J:J)</f>
        <v>235295</v>
      </c>
      <c r="E2" s="86">
        <f t="shared" ref="E2:E82" si="1">C2 - D2</f>
        <v>1564705</v>
      </c>
      <c r="F2" s="99">
        <f t="shared" ref="F2:F40" si="2">IFERROR(D2/C2, 0)</f>
        <v>0.1307194444</v>
      </c>
    </row>
    <row r="3">
      <c r="A3" s="24" t="s">
        <v>59</v>
      </c>
      <c r="B3" s="66" t="s">
        <v>215</v>
      </c>
      <c r="C3" s="97">
        <v>2300000.0</v>
      </c>
      <c r="D3" s="5">
        <f>SUMIF(Data_Log!D:D, A3, Data_Log!J:J)</f>
        <v>1447412</v>
      </c>
      <c r="E3" s="86">
        <f t="shared" si="1"/>
        <v>852588</v>
      </c>
      <c r="F3" s="99">
        <f t="shared" si="2"/>
        <v>0.6293095652</v>
      </c>
    </row>
    <row r="4">
      <c r="A4" s="24" t="s">
        <v>218</v>
      </c>
      <c r="B4" s="66" t="s">
        <v>219</v>
      </c>
      <c r="C4" s="97">
        <v>1800000.0</v>
      </c>
      <c r="D4" s="5">
        <f>SUMIF(Data_Log!D:D, A4, Data_Log!J:J)</f>
        <v>346950</v>
      </c>
      <c r="E4" s="86">
        <f t="shared" si="1"/>
        <v>1453050</v>
      </c>
      <c r="F4" s="99">
        <f t="shared" si="2"/>
        <v>0.19275</v>
      </c>
    </row>
    <row r="5">
      <c r="A5" s="24" t="s">
        <v>26</v>
      </c>
      <c r="B5" s="66" t="s">
        <v>221</v>
      </c>
      <c r="C5" s="97">
        <v>1800000.0</v>
      </c>
      <c r="D5" s="5">
        <f>SUMIF(Data_Log!D:D, A5, Data_Log!J:J)</f>
        <v>218850</v>
      </c>
      <c r="E5" s="86">
        <f t="shared" si="1"/>
        <v>1581150</v>
      </c>
      <c r="F5" s="99">
        <f t="shared" si="2"/>
        <v>0.1215833333</v>
      </c>
    </row>
    <row r="6">
      <c r="A6" s="24" t="s">
        <v>224</v>
      </c>
      <c r="B6" s="66" t="s">
        <v>227</v>
      </c>
      <c r="C6" s="97">
        <v>1800000.0</v>
      </c>
      <c r="D6" s="5">
        <f>SUMIF(Data_Log!D:D, A6, Data_Log!J:J)</f>
        <v>0</v>
      </c>
      <c r="E6" s="86">
        <f t="shared" si="1"/>
        <v>1800000</v>
      </c>
      <c r="F6" s="99">
        <f t="shared" si="2"/>
        <v>0</v>
      </c>
    </row>
    <row r="7">
      <c r="A7" s="24" t="s">
        <v>159</v>
      </c>
      <c r="B7" s="66" t="s">
        <v>229</v>
      </c>
      <c r="C7" s="97">
        <v>1800000.0</v>
      </c>
      <c r="D7" s="5">
        <f>SUMIF(Data_Log!D:D, A7, Data_Log!J:J)</f>
        <v>788164</v>
      </c>
      <c r="E7" s="86">
        <f t="shared" si="1"/>
        <v>1011836</v>
      </c>
      <c r="F7" s="99">
        <f t="shared" si="2"/>
        <v>0.4378688889</v>
      </c>
    </row>
    <row r="8">
      <c r="A8" s="24" t="s">
        <v>232</v>
      </c>
      <c r="B8" s="66" t="s">
        <v>233</v>
      </c>
      <c r="C8" s="100">
        <v>1000000.0</v>
      </c>
      <c r="D8" s="5">
        <f>SUMIF(Data_Log!D:D, A8, Data_Log!J:J)</f>
        <v>0</v>
      </c>
      <c r="E8" s="5">
        <f t="shared" si="1"/>
        <v>1000000</v>
      </c>
      <c r="F8" s="99">
        <f t="shared" si="2"/>
        <v>0</v>
      </c>
    </row>
    <row r="9">
      <c r="A9" s="24" t="s">
        <v>235</v>
      </c>
      <c r="B9" s="66" t="s">
        <v>236</v>
      </c>
      <c r="C9" s="100">
        <v>700000.0</v>
      </c>
      <c r="D9" s="5">
        <f>SUMIF(Data_Log!D:D, A9, Data_Log!J:J)</f>
        <v>0</v>
      </c>
      <c r="E9" s="5">
        <f t="shared" si="1"/>
        <v>700000</v>
      </c>
      <c r="F9" s="99">
        <f t="shared" si="2"/>
        <v>0</v>
      </c>
    </row>
    <row r="10">
      <c r="A10" s="24" t="s">
        <v>240</v>
      </c>
      <c r="B10" s="66" t="s">
        <v>241</v>
      </c>
      <c r="C10" s="100">
        <v>1000000.0</v>
      </c>
      <c r="D10" s="5">
        <f>SUMIF(Data_Log!D:D, A10, Data_Log!J:J)</f>
        <v>0</v>
      </c>
      <c r="E10" s="5">
        <f t="shared" si="1"/>
        <v>1000000</v>
      </c>
      <c r="F10" s="99">
        <f t="shared" si="2"/>
        <v>0</v>
      </c>
    </row>
    <row r="11">
      <c r="A11" s="24" t="s">
        <v>244</v>
      </c>
      <c r="B11" s="66" t="s">
        <v>245</v>
      </c>
      <c r="C11" s="100">
        <v>500000.0</v>
      </c>
      <c r="D11" s="5">
        <f>SUMIF(Data_Log!D:D, A11, Data_Log!J:J)</f>
        <v>0</v>
      </c>
      <c r="E11" s="5">
        <f t="shared" si="1"/>
        <v>500000</v>
      </c>
      <c r="F11" s="99">
        <f t="shared" si="2"/>
        <v>0</v>
      </c>
    </row>
    <row r="12">
      <c r="A12" s="24" t="s">
        <v>249</v>
      </c>
      <c r="B12" s="66" t="s">
        <v>252</v>
      </c>
      <c r="C12" s="100">
        <v>500000.0</v>
      </c>
      <c r="D12" s="5">
        <f>SUMIF(Data_Log!D:D, A12, Data_Log!J:J)</f>
        <v>0</v>
      </c>
      <c r="E12" s="5">
        <f t="shared" si="1"/>
        <v>500000</v>
      </c>
      <c r="F12" s="99">
        <f t="shared" si="2"/>
        <v>0</v>
      </c>
    </row>
    <row r="13">
      <c r="A13" s="24" t="s">
        <v>254</v>
      </c>
      <c r="B13" s="66" t="s">
        <v>255</v>
      </c>
      <c r="C13" s="100">
        <v>500000.0</v>
      </c>
      <c r="D13" s="5">
        <f>SUMIF(Data_Log!D:D, A13, Data_Log!J:J)</f>
        <v>0</v>
      </c>
      <c r="E13" s="5">
        <f t="shared" si="1"/>
        <v>500000</v>
      </c>
      <c r="F13" s="99">
        <f t="shared" si="2"/>
        <v>0</v>
      </c>
    </row>
    <row r="14">
      <c r="A14" s="24" t="s">
        <v>259</v>
      </c>
      <c r="B14" s="66" t="s">
        <v>261</v>
      </c>
      <c r="C14" s="100">
        <v>500000.0</v>
      </c>
      <c r="D14" s="5">
        <f>SUMIF(Data_Log!D:D, A14, Data_Log!J:J)</f>
        <v>0</v>
      </c>
      <c r="E14" s="5">
        <f t="shared" si="1"/>
        <v>500000</v>
      </c>
      <c r="F14" s="99">
        <f t="shared" si="2"/>
        <v>0</v>
      </c>
    </row>
    <row r="15">
      <c r="A15" s="24" t="s">
        <v>264</v>
      </c>
      <c r="B15" s="66" t="s">
        <v>265</v>
      </c>
      <c r="C15" s="100">
        <v>1000000.0</v>
      </c>
      <c r="D15" s="5">
        <f>SUMIF(Data_Log!D:D, A15, Data_Log!J:J)</f>
        <v>0</v>
      </c>
      <c r="E15" s="5">
        <f t="shared" si="1"/>
        <v>1000000</v>
      </c>
      <c r="F15" s="99">
        <f t="shared" si="2"/>
        <v>0</v>
      </c>
    </row>
    <row r="16">
      <c r="A16" s="24" t="s">
        <v>269</v>
      </c>
      <c r="B16" s="66" t="s">
        <v>270</v>
      </c>
      <c r="C16" s="100">
        <v>500000.0</v>
      </c>
      <c r="D16" s="5">
        <f>SUMIF(Data_Log!D:D, A16, Data_Log!J:J)</f>
        <v>0</v>
      </c>
      <c r="E16" s="5">
        <f t="shared" si="1"/>
        <v>500000</v>
      </c>
      <c r="F16" s="99">
        <f t="shared" si="2"/>
        <v>0</v>
      </c>
    </row>
    <row r="17">
      <c r="A17" s="24" t="s">
        <v>272</v>
      </c>
      <c r="B17" s="66" t="s">
        <v>273</v>
      </c>
      <c r="C17" s="100">
        <v>1500000.0</v>
      </c>
      <c r="D17" s="5">
        <f>SUMIF(Data_Log!D:D, A17, Data_Log!J:J)</f>
        <v>0</v>
      </c>
      <c r="E17" s="5">
        <f t="shared" si="1"/>
        <v>1500000</v>
      </c>
      <c r="F17" s="99">
        <f t="shared" si="2"/>
        <v>0</v>
      </c>
    </row>
    <row r="18">
      <c r="A18" s="24" t="s">
        <v>274</v>
      </c>
      <c r="B18" s="66" t="s">
        <v>275</v>
      </c>
      <c r="C18" s="100">
        <v>2000000.0</v>
      </c>
      <c r="D18" s="5">
        <f>SUMIF(Data_Log!D:D, A18, Data_Log!J:J)</f>
        <v>0</v>
      </c>
      <c r="E18" s="5">
        <f t="shared" si="1"/>
        <v>2000000</v>
      </c>
      <c r="F18" s="99">
        <f t="shared" si="2"/>
        <v>0</v>
      </c>
    </row>
    <row r="19">
      <c r="A19" s="24" t="s">
        <v>54</v>
      </c>
      <c r="B19" s="66" t="s">
        <v>277</v>
      </c>
      <c r="C19" s="100">
        <v>1000000.0</v>
      </c>
      <c r="D19" s="5">
        <f>SUMIF(Data_Log!D:D, A19, Data_Log!J:J)</f>
        <v>302409</v>
      </c>
      <c r="E19" s="5">
        <f t="shared" si="1"/>
        <v>697591</v>
      </c>
      <c r="F19" s="99">
        <f t="shared" si="2"/>
        <v>0.302409</v>
      </c>
    </row>
    <row r="20">
      <c r="A20" s="24" t="s">
        <v>279</v>
      </c>
      <c r="B20" s="66" t="s">
        <v>280</v>
      </c>
      <c r="C20" s="100">
        <v>1000000.0</v>
      </c>
      <c r="D20" s="5">
        <f>SUMIF(Data_Log!D:D, A20, Data_Log!J:J)</f>
        <v>0</v>
      </c>
      <c r="E20" s="5">
        <f t="shared" si="1"/>
        <v>1000000</v>
      </c>
      <c r="F20" s="99">
        <f t="shared" si="2"/>
        <v>0</v>
      </c>
    </row>
    <row r="21">
      <c r="A21" s="24" t="s">
        <v>283</v>
      </c>
      <c r="B21" s="66" t="s">
        <v>284</v>
      </c>
      <c r="C21" s="100">
        <v>1000000.0</v>
      </c>
      <c r="D21" s="5">
        <f>SUMIF(Data_Log!D:D, A21, Data_Log!J:J)</f>
        <v>0</v>
      </c>
      <c r="E21" s="5">
        <f t="shared" si="1"/>
        <v>1000000</v>
      </c>
      <c r="F21" s="99">
        <f t="shared" si="2"/>
        <v>0</v>
      </c>
    </row>
    <row r="22">
      <c r="A22" s="24" t="s">
        <v>285</v>
      </c>
      <c r="B22" s="66" t="s">
        <v>286</v>
      </c>
      <c r="C22" s="100">
        <v>1000000.0</v>
      </c>
      <c r="D22" s="5">
        <f>SUMIF(Data_Log!D:D, A22, Data_Log!J:J)</f>
        <v>0</v>
      </c>
      <c r="E22" s="5">
        <f t="shared" si="1"/>
        <v>1000000</v>
      </c>
      <c r="F22" s="99">
        <f t="shared" si="2"/>
        <v>0</v>
      </c>
    </row>
    <row r="23">
      <c r="A23" s="24" t="s">
        <v>290</v>
      </c>
      <c r="B23" s="66" t="s">
        <v>291</v>
      </c>
      <c r="C23" s="100">
        <v>3000000.0</v>
      </c>
      <c r="D23" s="5">
        <f>SUMIF(Data_Log!D:D, A23, Data_Log!J:J)</f>
        <v>460649.64</v>
      </c>
      <c r="E23" s="5">
        <f t="shared" si="1"/>
        <v>2539350.36</v>
      </c>
      <c r="F23" s="99">
        <f t="shared" si="2"/>
        <v>0.15354988</v>
      </c>
    </row>
    <row r="24">
      <c r="A24" s="24" t="s">
        <v>293</v>
      </c>
      <c r="B24" s="66" t="s">
        <v>295</v>
      </c>
      <c r="C24" s="100">
        <v>3000000.0</v>
      </c>
      <c r="D24" s="5">
        <f>SUMIF(Data_Log!D:D, A24, Data_Log!J:J)</f>
        <v>0</v>
      </c>
      <c r="E24" s="5">
        <f t="shared" si="1"/>
        <v>3000000</v>
      </c>
      <c r="F24" s="99">
        <f t="shared" si="2"/>
        <v>0</v>
      </c>
    </row>
    <row r="25">
      <c r="A25" s="24" t="s">
        <v>296</v>
      </c>
      <c r="B25" s="66" t="s">
        <v>297</v>
      </c>
      <c r="C25" s="100">
        <v>3000000.0</v>
      </c>
      <c r="D25" s="5">
        <f>SUMIF(Data_Log!D:D, A25, Data_Log!J:J)</f>
        <v>0</v>
      </c>
      <c r="E25" s="5">
        <f t="shared" si="1"/>
        <v>3000000</v>
      </c>
      <c r="F25" s="99">
        <f t="shared" si="2"/>
        <v>0</v>
      </c>
    </row>
    <row r="26">
      <c r="A26" s="24" t="s">
        <v>46</v>
      </c>
      <c r="B26" s="66" t="s">
        <v>301</v>
      </c>
      <c r="C26" s="100">
        <v>1400000.0</v>
      </c>
      <c r="D26" s="5">
        <f>SUMIF(Data_Log!D:D, A26, Data_Log!J:J)</f>
        <v>59670</v>
      </c>
      <c r="E26" s="5">
        <f t="shared" si="1"/>
        <v>1340330</v>
      </c>
      <c r="F26" s="99">
        <f t="shared" si="2"/>
        <v>0.04262142857</v>
      </c>
    </row>
    <row r="27">
      <c r="A27" s="24" t="s">
        <v>120</v>
      </c>
      <c r="B27" s="66" t="s">
        <v>305</v>
      </c>
      <c r="C27" s="100">
        <v>2500000.0</v>
      </c>
      <c r="D27" s="5">
        <f>SUMIF(Data_Log!D:D, A27, Data_Log!J:J)</f>
        <v>85400</v>
      </c>
      <c r="E27" s="5">
        <f t="shared" si="1"/>
        <v>2414600</v>
      </c>
      <c r="F27" s="99">
        <f t="shared" si="2"/>
        <v>0.03416</v>
      </c>
    </row>
    <row r="28">
      <c r="A28" s="24" t="s">
        <v>306</v>
      </c>
      <c r="B28" s="66" t="s">
        <v>307</v>
      </c>
      <c r="C28" s="100">
        <v>3000000.0</v>
      </c>
      <c r="D28" s="5">
        <f>SUMIF(Data_Log!D:D, A28, Data_Log!J:J)</f>
        <v>0</v>
      </c>
      <c r="E28" s="5">
        <f t="shared" si="1"/>
        <v>3000000</v>
      </c>
      <c r="F28" s="99">
        <f t="shared" si="2"/>
        <v>0</v>
      </c>
    </row>
    <row r="29">
      <c r="A29" s="24" t="s">
        <v>142</v>
      </c>
      <c r="B29" s="66" t="s">
        <v>311</v>
      </c>
      <c r="C29" s="100">
        <v>3000000.0</v>
      </c>
      <c r="D29" s="5">
        <f>SUMIF(Data_Log!D:D, A29, Data_Log!J:J)</f>
        <v>928500</v>
      </c>
      <c r="E29" s="5">
        <f t="shared" si="1"/>
        <v>2071500</v>
      </c>
      <c r="F29" s="99">
        <f t="shared" si="2"/>
        <v>0.3095</v>
      </c>
    </row>
    <row r="30">
      <c r="A30" s="24" t="s">
        <v>247</v>
      </c>
      <c r="B30" s="66" t="s">
        <v>313</v>
      </c>
      <c r="C30" s="100">
        <v>3000000.0</v>
      </c>
      <c r="D30" s="5">
        <f>SUMIF(Data_Log!D:D, A30, Data_Log!J:J)</f>
        <v>3402435</v>
      </c>
      <c r="E30" s="5">
        <f t="shared" si="1"/>
        <v>-402435</v>
      </c>
      <c r="F30" s="99">
        <f t="shared" si="2"/>
        <v>1.134145</v>
      </c>
    </row>
    <row r="31">
      <c r="A31" s="24" t="s">
        <v>323</v>
      </c>
      <c r="B31" s="7" t="s">
        <v>673</v>
      </c>
      <c r="C31" s="100">
        <v>1500000.0</v>
      </c>
      <c r="D31" s="5">
        <f>SUMIF(Data_Log!D:D, A31, Data_Log!J:J)</f>
        <v>0</v>
      </c>
      <c r="E31" s="5">
        <f t="shared" si="1"/>
        <v>1500000</v>
      </c>
      <c r="F31" s="99">
        <f t="shared" si="2"/>
        <v>0</v>
      </c>
    </row>
    <row r="32">
      <c r="A32" s="24" t="s">
        <v>327</v>
      </c>
      <c r="B32" s="7" t="s">
        <v>674</v>
      </c>
      <c r="C32" s="100">
        <v>1500000.0</v>
      </c>
      <c r="D32" s="5">
        <f>SUMIF(Data_Log!D:D, A32, Data_Log!J:J)</f>
        <v>0</v>
      </c>
      <c r="E32" s="5">
        <f t="shared" si="1"/>
        <v>1500000</v>
      </c>
      <c r="F32" s="99">
        <f t="shared" si="2"/>
        <v>0</v>
      </c>
    </row>
    <row r="33">
      <c r="A33" s="24" t="s">
        <v>330</v>
      </c>
      <c r="B33" s="7" t="s">
        <v>675</v>
      </c>
      <c r="C33" s="100">
        <v>1500000.0</v>
      </c>
      <c r="D33" s="5">
        <f>SUMIF(Data_Log!D:D, A33, Data_Log!J:J)</f>
        <v>0</v>
      </c>
      <c r="E33" s="5">
        <f t="shared" si="1"/>
        <v>1500000</v>
      </c>
      <c r="F33" s="99">
        <f t="shared" si="2"/>
        <v>0</v>
      </c>
    </row>
    <row r="34">
      <c r="A34" s="24" t="s">
        <v>127</v>
      </c>
      <c r="B34" s="7" t="s">
        <v>676</v>
      </c>
      <c r="C34" s="100">
        <v>1000000.0</v>
      </c>
      <c r="D34" s="5">
        <f>SUMIF(Data_Log!D:D, A34, Data_Log!J:J)</f>
        <v>522865</v>
      </c>
      <c r="E34" s="5">
        <f t="shared" si="1"/>
        <v>477135</v>
      </c>
      <c r="F34" s="99">
        <f t="shared" si="2"/>
        <v>0.522865</v>
      </c>
    </row>
    <row r="35">
      <c r="A35" s="24" t="s">
        <v>334</v>
      </c>
      <c r="B35" s="7" t="s">
        <v>677</v>
      </c>
      <c r="C35" s="100">
        <v>1500000.0</v>
      </c>
      <c r="D35" s="5">
        <f>SUMIF(Data_Log!D:D, A35, Data_Log!J:J)</f>
        <v>0</v>
      </c>
      <c r="E35" s="5">
        <f t="shared" si="1"/>
        <v>1500000</v>
      </c>
      <c r="F35" s="99">
        <f t="shared" si="2"/>
        <v>0</v>
      </c>
    </row>
    <row r="36">
      <c r="A36" s="24" t="s">
        <v>337</v>
      </c>
      <c r="B36" s="7" t="s">
        <v>678</v>
      </c>
      <c r="C36" s="100">
        <v>1500000.0</v>
      </c>
      <c r="D36" s="5">
        <f>SUMIF(Data_Log!D:D, A36, Data_Log!J:J)</f>
        <v>0</v>
      </c>
      <c r="E36" s="5">
        <f t="shared" si="1"/>
        <v>1500000</v>
      </c>
      <c r="F36" s="99">
        <f t="shared" si="2"/>
        <v>0</v>
      </c>
    </row>
    <row r="37">
      <c r="A37" s="24" t="s">
        <v>340</v>
      </c>
      <c r="B37" s="7" t="s">
        <v>679</v>
      </c>
      <c r="C37" s="100">
        <v>1500000.0</v>
      </c>
      <c r="D37" s="5">
        <f>SUMIF(Data_Log!D:D, A37, Data_Log!J:J)</f>
        <v>0</v>
      </c>
      <c r="E37" s="5">
        <f t="shared" si="1"/>
        <v>1500000</v>
      </c>
      <c r="F37" s="99">
        <f t="shared" si="2"/>
        <v>0</v>
      </c>
    </row>
    <row r="38">
      <c r="A38" s="24" t="s">
        <v>343</v>
      </c>
      <c r="B38" s="7" t="s">
        <v>680</v>
      </c>
      <c r="C38" s="100">
        <v>1000000.0</v>
      </c>
      <c r="D38" s="5">
        <f>SUMIF(Data_Log!D:D, A38, Data_Log!J:J)</f>
        <v>0</v>
      </c>
      <c r="E38" s="5">
        <f t="shared" si="1"/>
        <v>1000000</v>
      </c>
      <c r="F38" s="99">
        <f t="shared" si="2"/>
        <v>0</v>
      </c>
    </row>
    <row r="39">
      <c r="A39" s="98" t="s">
        <v>37</v>
      </c>
      <c r="B39" s="20" t="s">
        <v>654</v>
      </c>
      <c r="C39" s="15">
        <v>5600000.0</v>
      </c>
      <c r="D39" s="5">
        <f>SUMIF(Data_Log!D:D, A39, Data_Log!J:J)</f>
        <v>1957551.5</v>
      </c>
      <c r="E39" s="5">
        <f t="shared" si="1"/>
        <v>3642448.5</v>
      </c>
      <c r="F39" s="99">
        <f t="shared" si="2"/>
        <v>0.3495627679</v>
      </c>
    </row>
    <row r="40">
      <c r="A40" s="98" t="s">
        <v>308</v>
      </c>
      <c r="B40" s="56" t="s">
        <v>655</v>
      </c>
      <c r="C40" s="15">
        <v>1500000.0</v>
      </c>
      <c r="D40" s="5">
        <f>SUMIF(Data_Log!D:D, A40, Data_Log!J:J)</f>
        <v>69175</v>
      </c>
      <c r="E40" s="5">
        <f t="shared" si="1"/>
        <v>1430825</v>
      </c>
      <c r="F40" s="99">
        <f t="shared" si="2"/>
        <v>0.04611666667</v>
      </c>
    </row>
    <row r="41">
      <c r="A41" s="57"/>
      <c r="E41" s="5">
        <f t="shared" si="1"/>
        <v>0</v>
      </c>
      <c r="F41" s="101"/>
    </row>
    <row r="42">
      <c r="A42" s="24" t="s">
        <v>427</v>
      </c>
      <c r="B42" s="20" t="s">
        <v>41</v>
      </c>
      <c r="C42" s="21">
        <v>20000.0</v>
      </c>
      <c r="D42" s="46">
        <f>SUMIF(Voucher_Log!D:D, A2, Voucher_Log!H:H)</f>
        <v>0</v>
      </c>
      <c r="E42" s="86">
        <f t="shared" si="1"/>
        <v>20000</v>
      </c>
      <c r="F42" s="101"/>
    </row>
    <row r="43">
      <c r="A43" s="24" t="s">
        <v>681</v>
      </c>
      <c r="B43" s="20" t="s">
        <v>47</v>
      </c>
      <c r="C43" s="21"/>
      <c r="D43" s="46">
        <f>SUMIF(Voucher_Log!D:D, A3, Voucher_Log!H:H)</f>
        <v>0</v>
      </c>
      <c r="E43" s="86">
        <f t="shared" si="1"/>
        <v>0</v>
      </c>
      <c r="F43" s="101"/>
    </row>
    <row r="44">
      <c r="A44" s="24" t="s">
        <v>111</v>
      </c>
      <c r="B44" s="20" t="s">
        <v>57</v>
      </c>
      <c r="C44" s="21">
        <v>7500.0</v>
      </c>
      <c r="D44" s="46">
        <f>SUMIF(Voucher_Log!D:D, A4, Voucher_Log!H:H)</f>
        <v>0</v>
      </c>
      <c r="E44" s="86">
        <f t="shared" si="1"/>
        <v>7500</v>
      </c>
      <c r="F44" s="101"/>
    </row>
    <row r="45">
      <c r="A45" s="24" t="s">
        <v>361</v>
      </c>
      <c r="B45" s="20" t="s">
        <v>61</v>
      </c>
      <c r="C45" s="21">
        <v>7500.0</v>
      </c>
      <c r="D45" s="46">
        <f>SUMIF(Voucher_Log!D:D, A5, Voucher_Log!H:H)</f>
        <v>0</v>
      </c>
      <c r="E45" s="86">
        <f t="shared" si="1"/>
        <v>7500</v>
      </c>
      <c r="F45" s="101"/>
    </row>
    <row r="46">
      <c r="A46" s="24" t="s">
        <v>450</v>
      </c>
      <c r="B46" s="20" t="s">
        <v>64</v>
      </c>
      <c r="C46" s="21">
        <v>12000.0</v>
      </c>
      <c r="D46" s="46">
        <f>SUMIF(Voucher_Log!D:D, A6, Voucher_Log!H:H)</f>
        <v>0</v>
      </c>
      <c r="E46" s="86">
        <f t="shared" si="1"/>
        <v>12000</v>
      </c>
      <c r="F46" s="101"/>
    </row>
    <row r="47">
      <c r="A47" s="24" t="s">
        <v>362</v>
      </c>
      <c r="B47" s="20" t="s">
        <v>69</v>
      </c>
      <c r="C47" s="21">
        <v>1000.0</v>
      </c>
      <c r="D47" s="46">
        <f>SUMIF(Voucher_Log!D:D, A7, Voucher_Log!H:H)</f>
        <v>0</v>
      </c>
      <c r="E47" s="86">
        <f t="shared" si="1"/>
        <v>1000</v>
      </c>
      <c r="F47" s="101"/>
    </row>
    <row r="48">
      <c r="A48" s="24" t="s">
        <v>363</v>
      </c>
      <c r="B48" s="20" t="s">
        <v>73</v>
      </c>
      <c r="C48" s="21">
        <v>16750.0</v>
      </c>
      <c r="D48" s="46">
        <f>SUMIF(Voucher_Log!D:D, A8, Voucher_Log!H:H)</f>
        <v>0</v>
      </c>
      <c r="E48" s="86">
        <f t="shared" si="1"/>
        <v>16750</v>
      </c>
      <c r="F48" s="101"/>
    </row>
    <row r="49">
      <c r="A49" s="24" t="s">
        <v>364</v>
      </c>
      <c r="B49" s="20" t="s">
        <v>80</v>
      </c>
      <c r="C49" s="21"/>
      <c r="D49" s="46">
        <f>SUMIF(Voucher_Log!D:D, A9, Voucher_Log!H:H)</f>
        <v>0</v>
      </c>
      <c r="E49" s="86">
        <f t="shared" si="1"/>
        <v>0</v>
      </c>
      <c r="F49" s="101"/>
    </row>
    <row r="50">
      <c r="A50" s="24" t="s">
        <v>370</v>
      </c>
      <c r="B50" s="20" t="s">
        <v>87</v>
      </c>
      <c r="C50" s="42">
        <v>3000.0</v>
      </c>
      <c r="D50" s="46">
        <f>SUMIF(Voucher_Log!D:D, A10, Voucher_Log!H:H)</f>
        <v>0</v>
      </c>
      <c r="E50" s="86">
        <f t="shared" si="1"/>
        <v>3000</v>
      </c>
      <c r="F50" s="101"/>
    </row>
    <row r="51">
      <c r="A51" s="24" t="s">
        <v>380</v>
      </c>
      <c r="B51" s="20" t="s">
        <v>92</v>
      </c>
      <c r="C51" s="42">
        <v>3000.0</v>
      </c>
      <c r="D51" s="46">
        <f>SUMIF(Voucher_Log!D:D, A11, Voucher_Log!H:H)</f>
        <v>0</v>
      </c>
      <c r="E51" s="86">
        <f t="shared" si="1"/>
        <v>3000</v>
      </c>
      <c r="F51" s="101"/>
    </row>
    <row r="52">
      <c r="A52" s="24" t="s">
        <v>385</v>
      </c>
      <c r="B52" s="20" t="s">
        <v>95</v>
      </c>
      <c r="C52" s="42">
        <v>3000.0</v>
      </c>
      <c r="D52" s="46">
        <f>SUMIF(Voucher_Log!D:D, A12, Voucher_Log!H:H)</f>
        <v>0</v>
      </c>
      <c r="E52" s="86">
        <f t="shared" si="1"/>
        <v>3000</v>
      </c>
      <c r="F52" s="101"/>
    </row>
    <row r="53">
      <c r="A53" s="24" t="s">
        <v>396</v>
      </c>
      <c r="B53" s="20" t="s">
        <v>97</v>
      </c>
      <c r="C53" s="42">
        <v>7000.0</v>
      </c>
      <c r="D53" s="46">
        <f>SUMIF(Voucher_Log!D:D, A13, Voucher_Log!H:H)</f>
        <v>0</v>
      </c>
      <c r="E53" s="86">
        <f t="shared" si="1"/>
        <v>7000</v>
      </c>
      <c r="F53" s="101"/>
    </row>
    <row r="54">
      <c r="A54" s="24" t="s">
        <v>406</v>
      </c>
      <c r="B54" s="20" t="s">
        <v>100</v>
      </c>
      <c r="C54" s="42">
        <v>2000.0</v>
      </c>
      <c r="D54" s="46">
        <f>SUMIF(Voucher_Log!D:D, A14, Voucher_Log!H:H)</f>
        <v>0</v>
      </c>
      <c r="E54" s="86">
        <f t="shared" si="1"/>
        <v>2000</v>
      </c>
      <c r="F54" s="101"/>
    </row>
    <row r="55">
      <c r="A55" s="24" t="s">
        <v>415</v>
      </c>
      <c r="B55" s="20" t="s">
        <v>103</v>
      </c>
      <c r="C55" s="42">
        <v>1500.0</v>
      </c>
      <c r="D55" s="46">
        <f>SUMIF(Voucher_Log!D:D, A15, Voucher_Log!H:H)</f>
        <v>0</v>
      </c>
      <c r="E55" s="86">
        <f t="shared" si="1"/>
        <v>1500</v>
      </c>
      <c r="F55" s="101"/>
    </row>
    <row r="56">
      <c r="A56" s="24" t="s">
        <v>426</v>
      </c>
      <c r="B56" s="20" t="s">
        <v>107</v>
      </c>
      <c r="C56" s="42">
        <v>2160.0</v>
      </c>
      <c r="D56" s="46">
        <f>SUMIF(Voucher_Log!D:D, A16, Voucher_Log!H:H)</f>
        <v>0</v>
      </c>
      <c r="E56" s="86">
        <f t="shared" si="1"/>
        <v>2160</v>
      </c>
      <c r="F56" s="101"/>
    </row>
    <row r="57">
      <c r="A57" s="24" t="s">
        <v>440</v>
      </c>
      <c r="B57" s="20" t="s">
        <v>109</v>
      </c>
      <c r="C57" s="42">
        <v>1500.0</v>
      </c>
      <c r="D57" s="46">
        <f>SUMIF(Voucher_Log!D:D, A17, Voucher_Log!H:H)</f>
        <v>0</v>
      </c>
      <c r="E57" s="86">
        <f t="shared" si="1"/>
        <v>1500</v>
      </c>
      <c r="F57" s="101"/>
    </row>
    <row r="58">
      <c r="A58" s="24" t="s">
        <v>124</v>
      </c>
      <c r="B58" s="20" t="s">
        <v>114</v>
      </c>
      <c r="C58" s="42">
        <v>1500.0</v>
      </c>
      <c r="D58" s="46">
        <f>SUMIF(Voucher_Log!D:D, A18, Voucher_Log!H:H)</f>
        <v>0</v>
      </c>
      <c r="E58" s="86">
        <f t="shared" si="1"/>
        <v>1500</v>
      </c>
      <c r="F58" s="101"/>
    </row>
    <row r="59">
      <c r="A59" s="24" t="s">
        <v>470</v>
      </c>
      <c r="B59" s="20" t="s">
        <v>118</v>
      </c>
      <c r="C59" s="42">
        <v>1500.0</v>
      </c>
      <c r="D59" s="46">
        <f>SUMIF(Voucher_Log!D:D, A19, Voucher_Log!H:H)</f>
        <v>0</v>
      </c>
      <c r="E59" s="86">
        <f t="shared" si="1"/>
        <v>1500</v>
      </c>
      <c r="F59" s="101"/>
    </row>
    <row r="60">
      <c r="A60" s="24" t="s">
        <v>481</v>
      </c>
      <c r="B60" s="20" t="s">
        <v>123</v>
      </c>
      <c r="C60" s="42">
        <v>1000.0</v>
      </c>
      <c r="D60" s="46">
        <f>SUMIF(Voucher_Log!D:D, A20, Voucher_Log!H:H)</f>
        <v>0</v>
      </c>
      <c r="E60" s="86">
        <f t="shared" si="1"/>
        <v>1000</v>
      </c>
      <c r="F60" s="101"/>
    </row>
    <row r="61">
      <c r="A61" s="24" t="s">
        <v>486</v>
      </c>
      <c r="B61" s="20" t="s">
        <v>128</v>
      </c>
      <c r="C61" s="42">
        <v>2840.0</v>
      </c>
      <c r="D61" s="46">
        <f>SUMIF(Voucher_Log!D:D, A21, Voucher_Log!H:H)</f>
        <v>0</v>
      </c>
      <c r="E61" s="86">
        <f t="shared" si="1"/>
        <v>2840</v>
      </c>
      <c r="F61" s="101"/>
    </row>
    <row r="62">
      <c r="A62" s="24" t="s">
        <v>135</v>
      </c>
      <c r="B62" s="20" t="s">
        <v>134</v>
      </c>
      <c r="C62" s="21">
        <v>6500.0</v>
      </c>
      <c r="D62" s="46">
        <f>SUMIF(Voucher_Log!D:D, A22, Voucher_Log!H:H)</f>
        <v>0</v>
      </c>
      <c r="E62" s="86">
        <f t="shared" si="1"/>
        <v>6500</v>
      </c>
      <c r="F62" s="101"/>
    </row>
    <row r="63">
      <c r="A63" s="24" t="s">
        <v>84</v>
      </c>
      <c r="B63" s="20" t="s">
        <v>140</v>
      </c>
      <c r="C63" s="21">
        <v>310000.0</v>
      </c>
      <c r="D63" s="46">
        <f>SUMIF(Voucher_Log!D:D, A23, Voucher_Log!H:H)</f>
        <v>0</v>
      </c>
      <c r="E63" s="86">
        <f t="shared" si="1"/>
        <v>310000</v>
      </c>
      <c r="F63" s="101"/>
    </row>
    <row r="64">
      <c r="A64" s="24" t="s">
        <v>90</v>
      </c>
      <c r="B64" s="20" t="s">
        <v>147</v>
      </c>
      <c r="C64" s="21">
        <v>90000.0</v>
      </c>
      <c r="D64" s="15">
        <v>9.0E7</v>
      </c>
      <c r="E64" s="86">
        <f t="shared" si="1"/>
        <v>-89910000</v>
      </c>
      <c r="F64" s="101"/>
    </row>
    <row r="65">
      <c r="A65" s="24" t="s">
        <v>476</v>
      </c>
      <c r="B65" s="20" t="s">
        <v>151</v>
      </c>
      <c r="C65" s="60">
        <v>8000.0</v>
      </c>
      <c r="D65" s="46">
        <f>SUMIF(Voucher_Log!D:D, A25, Voucher_Log!H:H)</f>
        <v>0</v>
      </c>
      <c r="E65" s="86">
        <f t="shared" si="1"/>
        <v>8000</v>
      </c>
      <c r="F65" s="101"/>
    </row>
    <row r="66">
      <c r="A66" s="24" t="s">
        <v>538</v>
      </c>
      <c r="B66" s="20" t="s">
        <v>156</v>
      </c>
      <c r="C66" s="21"/>
      <c r="D66" s="46">
        <f>SUMIF(Voucher_Log!D:D, A26, Voucher_Log!H:H)</f>
        <v>0</v>
      </c>
      <c r="E66" s="86">
        <f t="shared" si="1"/>
        <v>0</v>
      </c>
      <c r="F66" s="101"/>
    </row>
    <row r="67">
      <c r="A67" s="24" t="s">
        <v>548</v>
      </c>
      <c r="B67" s="20" t="s">
        <v>162</v>
      </c>
      <c r="C67" s="21">
        <v>10000.0</v>
      </c>
      <c r="D67" s="46">
        <f>SUMIF(Voucher_Log!D:D, A27, Voucher_Log!H:H)</f>
        <v>0</v>
      </c>
      <c r="E67" s="86">
        <f t="shared" si="1"/>
        <v>10000</v>
      </c>
      <c r="F67" s="101"/>
    </row>
    <row r="68">
      <c r="A68" s="24" t="s">
        <v>558</v>
      </c>
      <c r="B68" s="20" t="s">
        <v>166</v>
      </c>
      <c r="C68" s="21"/>
      <c r="D68" s="46">
        <f>SUMIF(Voucher_Log!D:D, A28, Voucher_Log!H:H)</f>
        <v>0</v>
      </c>
      <c r="E68" s="86">
        <f t="shared" si="1"/>
        <v>0</v>
      </c>
      <c r="F68" s="101"/>
    </row>
    <row r="69">
      <c r="A69" s="24" t="s">
        <v>568</v>
      </c>
      <c r="B69" s="20" t="s">
        <v>170</v>
      </c>
      <c r="C69" s="21">
        <v>262.0</v>
      </c>
      <c r="D69" s="46">
        <f>SUMIF(Voucher_Log!D:D, A29, Voucher_Log!H:H)</f>
        <v>0</v>
      </c>
      <c r="E69" s="86">
        <f t="shared" si="1"/>
        <v>262</v>
      </c>
      <c r="F69" s="101"/>
    </row>
    <row r="70">
      <c r="A70" s="24" t="s">
        <v>580</v>
      </c>
      <c r="B70" s="20" t="s">
        <v>173</v>
      </c>
      <c r="C70" s="21">
        <v>937.0</v>
      </c>
      <c r="D70" s="46">
        <f>SUMIF(Voucher_Log!D:D, A30, Voucher_Log!H:H)</f>
        <v>0</v>
      </c>
      <c r="E70" s="86">
        <f t="shared" si="1"/>
        <v>937</v>
      </c>
      <c r="F70" s="101"/>
    </row>
    <row r="71">
      <c r="A71" s="24" t="s">
        <v>589</v>
      </c>
      <c r="B71" s="56" t="s">
        <v>174</v>
      </c>
      <c r="C71" s="21"/>
      <c r="D71" s="46">
        <f>SUMIF(Voucher_Log!D:D, A31, Voucher_Log!H:H)</f>
        <v>0</v>
      </c>
      <c r="E71" s="86">
        <f t="shared" si="1"/>
        <v>0</v>
      </c>
      <c r="F71" s="101"/>
    </row>
    <row r="72">
      <c r="A72" s="24" t="s">
        <v>600</v>
      </c>
      <c r="B72" s="20" t="s">
        <v>177</v>
      </c>
      <c r="C72" s="21">
        <v>400.0</v>
      </c>
      <c r="D72" s="46">
        <f>SUMIF(Voucher_Log!D:D, A32, Voucher_Log!H:H)</f>
        <v>0</v>
      </c>
      <c r="E72" s="86">
        <f t="shared" si="1"/>
        <v>400</v>
      </c>
      <c r="F72" s="101"/>
    </row>
    <row r="73">
      <c r="A73" s="24" t="s">
        <v>615</v>
      </c>
      <c r="B73" s="20" t="s">
        <v>180</v>
      </c>
      <c r="C73" s="21">
        <v>400.0</v>
      </c>
      <c r="D73" s="46">
        <f>SUMIF(Voucher_Log!D:D, A33, Voucher_Log!H:H)</f>
        <v>0</v>
      </c>
      <c r="E73" s="86">
        <f t="shared" si="1"/>
        <v>400</v>
      </c>
      <c r="F73" s="101"/>
    </row>
    <row r="74">
      <c r="A74" s="24" t="s">
        <v>624</v>
      </c>
      <c r="B74" s="20" t="s">
        <v>183</v>
      </c>
      <c r="C74" s="21">
        <v>200.0</v>
      </c>
      <c r="D74" s="46">
        <f>SUMIF(Voucher_Log!D:D, A34, Voucher_Log!H:H)</f>
        <v>0</v>
      </c>
      <c r="E74" s="86">
        <f t="shared" si="1"/>
        <v>200</v>
      </c>
      <c r="F74" s="101"/>
    </row>
    <row r="75">
      <c r="A75" s="24" t="s">
        <v>631</v>
      </c>
      <c r="B75" s="56" t="s">
        <v>185</v>
      </c>
      <c r="C75" s="21"/>
      <c r="D75" s="46">
        <f>SUMIF(Voucher_Log!D:D, A35, Voucher_Log!H:H)</f>
        <v>0</v>
      </c>
      <c r="E75" s="86">
        <f t="shared" si="1"/>
        <v>0</v>
      </c>
      <c r="F75" s="101"/>
    </row>
    <row r="76">
      <c r="A76" s="24" t="s">
        <v>641</v>
      </c>
      <c r="B76" s="20" t="s">
        <v>188</v>
      </c>
      <c r="C76" s="42">
        <v>78250.0</v>
      </c>
      <c r="D76" s="46">
        <f>SUMIF(Voucher_Log!D:D, A36, Voucher_Log!H:H)</f>
        <v>0</v>
      </c>
      <c r="E76" s="86">
        <f t="shared" si="1"/>
        <v>78250</v>
      </c>
      <c r="F76" s="101"/>
    </row>
    <row r="77">
      <c r="A77" s="24" t="s">
        <v>647</v>
      </c>
      <c r="B77" s="20" t="s">
        <v>190</v>
      </c>
      <c r="C77" s="42">
        <v>110000.0</v>
      </c>
      <c r="D77" s="46">
        <f>SUMIF(Voucher_Log!D:D, A37, Voucher_Log!H:H)</f>
        <v>0</v>
      </c>
      <c r="E77" s="86">
        <f t="shared" si="1"/>
        <v>110000</v>
      </c>
      <c r="F77" s="101"/>
    </row>
    <row r="78">
      <c r="A78" s="24" t="s">
        <v>495</v>
      </c>
      <c r="B78" s="20" t="s">
        <v>193</v>
      </c>
      <c r="C78" s="42">
        <v>3000.0</v>
      </c>
      <c r="D78" s="46">
        <f>SUMIF(Voucher_Log!D:D, A38, Voucher_Log!H:H)</f>
        <v>0</v>
      </c>
      <c r="E78" s="86">
        <f t="shared" si="1"/>
        <v>3000</v>
      </c>
      <c r="F78" s="101"/>
    </row>
    <row r="79">
      <c r="A79" s="24" t="s">
        <v>648</v>
      </c>
      <c r="B79" s="20" t="s">
        <v>196</v>
      </c>
      <c r="C79" s="42">
        <v>4875.0</v>
      </c>
      <c r="D79" s="46">
        <f>SUMIF(Voucher_Log!D:D, A39, Voucher_Log!H:H)</f>
        <v>0</v>
      </c>
      <c r="E79" s="86">
        <f t="shared" si="1"/>
        <v>4875</v>
      </c>
      <c r="F79" s="101"/>
    </row>
    <row r="80">
      <c r="A80" s="24" t="s">
        <v>649</v>
      </c>
      <c r="B80" s="20" t="s">
        <v>200</v>
      </c>
      <c r="C80" s="42">
        <v>4500.0</v>
      </c>
      <c r="D80" s="46">
        <f>SUMIF(Voucher_Log!D:D, A40, Voucher_Log!H:H)</f>
        <v>0</v>
      </c>
      <c r="E80" s="86">
        <f t="shared" si="1"/>
        <v>4500</v>
      </c>
      <c r="F80" s="101"/>
    </row>
    <row r="81">
      <c r="A81" s="24" t="s">
        <v>650</v>
      </c>
      <c r="B81" s="20" t="s">
        <v>202</v>
      </c>
      <c r="C81" s="42">
        <v>2000.0</v>
      </c>
      <c r="D81" s="46">
        <f>SUMIF(Voucher_Log!D:D, A41, Voucher_Log!H:H)</f>
        <v>0</v>
      </c>
      <c r="E81" s="86">
        <f t="shared" si="1"/>
        <v>2000</v>
      </c>
      <c r="F81" s="101"/>
    </row>
    <row r="82">
      <c r="A82" s="24" t="s">
        <v>651</v>
      </c>
      <c r="B82" s="20" t="s">
        <v>205</v>
      </c>
      <c r="C82" s="42">
        <v>12375.0</v>
      </c>
      <c r="D82" s="15">
        <v>0.0</v>
      </c>
      <c r="E82" s="86">
        <f t="shared" si="1"/>
        <v>12375</v>
      </c>
      <c r="F82" s="101"/>
    </row>
    <row r="83">
      <c r="A83" s="57"/>
      <c r="F83" s="101"/>
    </row>
    <row r="84">
      <c r="A84" s="57"/>
      <c r="F84" s="101"/>
    </row>
    <row r="85">
      <c r="A85" s="57"/>
      <c r="F85" s="101"/>
    </row>
    <row r="86">
      <c r="A86" s="57"/>
      <c r="F86" s="101"/>
    </row>
    <row r="87">
      <c r="A87" s="57"/>
      <c r="F87" s="101"/>
    </row>
    <row r="88">
      <c r="A88" s="57"/>
      <c r="F88" s="101"/>
    </row>
    <row r="89">
      <c r="A89" s="57"/>
      <c r="F89" s="101"/>
    </row>
    <row r="90">
      <c r="A90" s="57"/>
      <c r="F90" s="101"/>
    </row>
    <row r="91">
      <c r="A91" s="57"/>
      <c r="F91" s="101"/>
    </row>
    <row r="92">
      <c r="A92" s="57"/>
      <c r="F92" s="101"/>
    </row>
    <row r="93">
      <c r="A93" s="57"/>
      <c r="F93" s="101"/>
    </row>
    <row r="94">
      <c r="A94" s="57"/>
      <c r="F94" s="101"/>
    </row>
    <row r="95">
      <c r="A95" s="57"/>
      <c r="F95" s="101"/>
    </row>
    <row r="96">
      <c r="A96" s="57"/>
      <c r="F96" s="101"/>
    </row>
    <row r="97">
      <c r="A97" s="57"/>
      <c r="F97" s="101"/>
    </row>
    <row r="98">
      <c r="A98" s="57"/>
      <c r="F98" s="101"/>
    </row>
    <row r="99">
      <c r="A99" s="57"/>
      <c r="F99" s="101"/>
    </row>
    <row r="100">
      <c r="A100" s="57"/>
      <c r="F100" s="101"/>
    </row>
    <row r="101">
      <c r="A101" s="57"/>
      <c r="F101" s="101"/>
    </row>
    <row r="102">
      <c r="A102" s="57"/>
      <c r="F102" s="101"/>
    </row>
    <row r="103">
      <c r="A103" s="57"/>
      <c r="F103" s="101"/>
    </row>
    <row r="104">
      <c r="A104" s="57"/>
      <c r="F104" s="101"/>
    </row>
    <row r="105">
      <c r="A105" s="57"/>
      <c r="F105" s="101"/>
    </row>
    <row r="106">
      <c r="A106" s="57"/>
      <c r="F106" s="101"/>
    </row>
    <row r="107">
      <c r="A107" s="57"/>
      <c r="F107" s="101"/>
    </row>
    <row r="108">
      <c r="A108" s="57"/>
      <c r="F108" s="101"/>
    </row>
    <row r="109">
      <c r="A109" s="57"/>
      <c r="F109" s="101"/>
    </row>
    <row r="110">
      <c r="A110" s="57"/>
      <c r="F110" s="101"/>
    </row>
    <row r="111">
      <c r="A111" s="57"/>
      <c r="F111" s="101"/>
    </row>
    <row r="112">
      <c r="A112" s="57"/>
      <c r="F112" s="101"/>
    </row>
    <row r="113">
      <c r="A113" s="57"/>
      <c r="F113" s="101"/>
    </row>
    <row r="114">
      <c r="A114" s="57"/>
      <c r="F114" s="101"/>
    </row>
    <row r="115">
      <c r="A115" s="57"/>
      <c r="F115" s="101"/>
    </row>
    <row r="116">
      <c r="A116" s="57"/>
      <c r="F116" s="101"/>
    </row>
    <row r="117">
      <c r="A117" s="57"/>
      <c r="F117" s="101"/>
    </row>
    <row r="118">
      <c r="A118" s="57"/>
      <c r="F118" s="101"/>
    </row>
    <row r="119">
      <c r="A119" s="57"/>
      <c r="F119" s="101"/>
    </row>
    <row r="120">
      <c r="A120" s="57"/>
      <c r="F120" s="101"/>
    </row>
    <row r="121">
      <c r="A121" s="57"/>
      <c r="F121" s="101"/>
    </row>
    <row r="122">
      <c r="A122" s="57"/>
      <c r="F122" s="101"/>
    </row>
    <row r="123">
      <c r="A123" s="57"/>
      <c r="F123" s="101"/>
    </row>
    <row r="124">
      <c r="A124" s="57"/>
      <c r="F124" s="101"/>
    </row>
    <row r="125">
      <c r="A125" s="57"/>
      <c r="F125" s="101"/>
    </row>
    <row r="126">
      <c r="A126" s="57"/>
      <c r="F126" s="101"/>
    </row>
    <row r="127">
      <c r="A127" s="57"/>
      <c r="F127" s="101"/>
    </row>
    <row r="128">
      <c r="A128" s="57"/>
      <c r="F128" s="101"/>
    </row>
    <row r="129">
      <c r="A129" s="57"/>
      <c r="F129" s="101"/>
    </row>
    <row r="130">
      <c r="A130" s="57"/>
      <c r="F130" s="101"/>
    </row>
    <row r="131">
      <c r="A131" s="57"/>
      <c r="F131" s="101"/>
    </row>
    <row r="132">
      <c r="A132" s="57"/>
      <c r="F132" s="101"/>
    </row>
    <row r="133">
      <c r="A133" s="57"/>
      <c r="F133" s="101"/>
    </row>
    <row r="134">
      <c r="A134" s="57"/>
      <c r="F134" s="101"/>
    </row>
    <row r="135">
      <c r="A135" s="57"/>
      <c r="F135" s="101"/>
    </row>
    <row r="136">
      <c r="A136" s="57"/>
      <c r="F136" s="101"/>
    </row>
    <row r="137">
      <c r="A137" s="57"/>
      <c r="F137" s="101"/>
    </row>
    <row r="138">
      <c r="A138" s="57"/>
      <c r="F138" s="101"/>
    </row>
    <row r="139">
      <c r="A139" s="57"/>
      <c r="F139" s="101"/>
    </row>
    <row r="140">
      <c r="A140" s="57"/>
      <c r="F140" s="101"/>
    </row>
    <row r="141">
      <c r="A141" s="57"/>
      <c r="F141" s="101"/>
    </row>
    <row r="142">
      <c r="A142" s="57"/>
      <c r="F142" s="101"/>
    </row>
    <row r="143">
      <c r="A143" s="57"/>
      <c r="F143" s="101"/>
    </row>
    <row r="144">
      <c r="A144" s="57"/>
      <c r="F144" s="101"/>
    </row>
    <row r="145">
      <c r="A145" s="57"/>
      <c r="F145" s="101"/>
    </row>
    <row r="146">
      <c r="A146" s="57"/>
      <c r="F146" s="101"/>
    </row>
    <row r="147">
      <c r="A147" s="57"/>
      <c r="F147" s="101"/>
    </row>
    <row r="148">
      <c r="A148" s="57"/>
      <c r="F148" s="101"/>
    </row>
    <row r="149">
      <c r="A149" s="57"/>
      <c r="F149" s="101"/>
    </row>
    <row r="150">
      <c r="A150" s="57"/>
      <c r="F150" s="101"/>
    </row>
    <row r="151">
      <c r="A151" s="57"/>
      <c r="F151" s="101"/>
    </row>
    <row r="152">
      <c r="A152" s="57"/>
      <c r="F152" s="101"/>
    </row>
    <row r="153">
      <c r="A153" s="57"/>
      <c r="F153" s="101"/>
    </row>
    <row r="154">
      <c r="A154" s="57"/>
      <c r="F154" s="101"/>
    </row>
    <row r="155">
      <c r="A155" s="57"/>
      <c r="F155" s="101"/>
    </row>
    <row r="156">
      <c r="A156" s="57"/>
      <c r="F156" s="101"/>
    </row>
    <row r="157">
      <c r="A157" s="57"/>
      <c r="F157" s="101"/>
    </row>
    <row r="158">
      <c r="A158" s="57"/>
      <c r="F158" s="101"/>
    </row>
    <row r="159">
      <c r="A159" s="57"/>
      <c r="F159" s="101"/>
    </row>
    <row r="160">
      <c r="A160" s="57"/>
      <c r="F160" s="101"/>
    </row>
    <row r="161">
      <c r="A161" s="57"/>
      <c r="F161" s="101"/>
    </row>
    <row r="162">
      <c r="A162" s="57"/>
      <c r="F162" s="101"/>
    </row>
    <row r="163">
      <c r="A163" s="57"/>
      <c r="F163" s="101"/>
    </row>
    <row r="164">
      <c r="A164" s="57"/>
      <c r="F164" s="101"/>
    </row>
    <row r="165">
      <c r="A165" s="57"/>
      <c r="F165" s="101"/>
    </row>
    <row r="166">
      <c r="A166" s="57"/>
      <c r="F166" s="101"/>
    </row>
    <row r="167">
      <c r="A167" s="57"/>
      <c r="F167" s="101"/>
    </row>
    <row r="168">
      <c r="A168" s="57"/>
      <c r="F168" s="101"/>
    </row>
    <row r="169">
      <c r="A169" s="57"/>
      <c r="F169" s="101"/>
    </row>
    <row r="170">
      <c r="A170" s="57"/>
      <c r="F170" s="101"/>
    </row>
    <row r="171">
      <c r="A171" s="57"/>
      <c r="F171" s="101"/>
    </row>
    <row r="172">
      <c r="A172" s="57"/>
      <c r="F172" s="101"/>
    </row>
    <row r="173">
      <c r="A173" s="57"/>
      <c r="F173" s="101"/>
    </row>
    <row r="174">
      <c r="A174" s="57"/>
      <c r="F174" s="101"/>
    </row>
    <row r="175">
      <c r="A175" s="57"/>
      <c r="F175" s="101"/>
    </row>
    <row r="176">
      <c r="A176" s="57"/>
      <c r="F176" s="101"/>
    </row>
    <row r="177">
      <c r="A177" s="57"/>
      <c r="F177" s="101"/>
    </row>
    <row r="178">
      <c r="A178" s="57"/>
      <c r="F178" s="101"/>
    </row>
    <row r="179">
      <c r="A179" s="57"/>
      <c r="F179" s="101"/>
    </row>
    <row r="180">
      <c r="A180" s="57"/>
      <c r="F180" s="101"/>
    </row>
    <row r="181">
      <c r="A181" s="57"/>
      <c r="F181" s="101"/>
    </row>
    <row r="182">
      <c r="A182" s="57"/>
      <c r="F182" s="101"/>
    </row>
    <row r="183">
      <c r="A183" s="57"/>
      <c r="F183" s="101"/>
    </row>
    <row r="184">
      <c r="A184" s="57"/>
      <c r="F184" s="101"/>
    </row>
    <row r="185">
      <c r="A185" s="57"/>
      <c r="F185" s="101"/>
    </row>
    <row r="186">
      <c r="A186" s="57"/>
      <c r="F186" s="101"/>
    </row>
    <row r="187">
      <c r="A187" s="57"/>
      <c r="F187" s="101"/>
    </row>
    <row r="188">
      <c r="A188" s="57"/>
      <c r="F188" s="101"/>
    </row>
    <row r="189">
      <c r="A189" s="57"/>
      <c r="F189" s="101"/>
    </row>
    <row r="190">
      <c r="A190" s="57"/>
      <c r="F190" s="101"/>
    </row>
    <row r="191">
      <c r="A191" s="57"/>
      <c r="F191" s="101"/>
    </row>
    <row r="192">
      <c r="A192" s="57"/>
      <c r="F192" s="101"/>
    </row>
    <row r="193">
      <c r="A193" s="57"/>
      <c r="F193" s="101"/>
    </row>
    <row r="194">
      <c r="A194" s="57"/>
      <c r="F194" s="101"/>
    </row>
    <row r="195">
      <c r="A195" s="57"/>
      <c r="F195" s="101"/>
    </row>
    <row r="196">
      <c r="A196" s="57"/>
      <c r="F196" s="101"/>
    </row>
    <row r="197">
      <c r="A197" s="57"/>
      <c r="F197" s="101"/>
    </row>
    <row r="198">
      <c r="A198" s="57"/>
      <c r="F198" s="101"/>
    </row>
    <row r="199">
      <c r="A199" s="57"/>
      <c r="F199" s="101"/>
    </row>
    <row r="200">
      <c r="A200" s="57"/>
      <c r="F200" s="101"/>
    </row>
    <row r="201">
      <c r="A201" s="57"/>
      <c r="F201" s="101"/>
    </row>
    <row r="202">
      <c r="A202" s="57"/>
      <c r="F202" s="101"/>
    </row>
    <row r="203">
      <c r="A203" s="57"/>
      <c r="F203" s="101"/>
    </row>
    <row r="204">
      <c r="A204" s="57"/>
      <c r="F204" s="101"/>
    </row>
    <row r="205">
      <c r="A205" s="57"/>
      <c r="F205" s="101"/>
    </row>
    <row r="206">
      <c r="A206" s="57"/>
      <c r="F206" s="101"/>
    </row>
    <row r="207">
      <c r="A207" s="57"/>
      <c r="F207" s="101"/>
    </row>
    <row r="208">
      <c r="A208" s="57"/>
      <c r="F208" s="101"/>
    </row>
    <row r="209">
      <c r="A209" s="57"/>
      <c r="F209" s="101"/>
    </row>
    <row r="210">
      <c r="A210" s="57"/>
      <c r="F210" s="101"/>
    </row>
    <row r="211">
      <c r="A211" s="57"/>
      <c r="F211" s="101"/>
    </row>
    <row r="212">
      <c r="A212" s="57"/>
      <c r="F212" s="101"/>
    </row>
    <row r="213">
      <c r="A213" s="57"/>
      <c r="F213" s="101"/>
    </row>
    <row r="214">
      <c r="A214" s="57"/>
      <c r="F214" s="101"/>
    </row>
    <row r="215">
      <c r="A215" s="57"/>
      <c r="F215" s="101"/>
    </row>
    <row r="216">
      <c r="A216" s="57"/>
      <c r="F216" s="101"/>
    </row>
    <row r="217">
      <c r="A217" s="57"/>
      <c r="F217" s="101"/>
    </row>
    <row r="218">
      <c r="A218" s="57"/>
      <c r="F218" s="101"/>
    </row>
    <row r="219">
      <c r="A219" s="57"/>
      <c r="F219" s="101"/>
    </row>
    <row r="220">
      <c r="A220" s="57"/>
      <c r="F220" s="101"/>
    </row>
    <row r="221">
      <c r="A221" s="57"/>
      <c r="F221" s="101"/>
    </row>
    <row r="222">
      <c r="A222" s="57"/>
      <c r="F222" s="101"/>
    </row>
    <row r="223">
      <c r="A223" s="57"/>
      <c r="F223" s="101"/>
    </row>
    <row r="224">
      <c r="A224" s="57"/>
      <c r="F224" s="101"/>
    </row>
    <row r="225">
      <c r="A225" s="57"/>
      <c r="F225" s="101"/>
    </row>
    <row r="226">
      <c r="A226" s="57"/>
      <c r="F226" s="101"/>
    </row>
    <row r="227">
      <c r="A227" s="57"/>
      <c r="F227" s="101"/>
    </row>
    <row r="228">
      <c r="A228" s="57"/>
      <c r="F228" s="101"/>
    </row>
    <row r="229">
      <c r="A229" s="57"/>
      <c r="F229" s="101"/>
    </row>
    <row r="230">
      <c r="A230" s="57"/>
      <c r="F230" s="101"/>
    </row>
    <row r="231">
      <c r="A231" s="57"/>
      <c r="F231" s="101"/>
    </row>
    <row r="232">
      <c r="A232" s="57"/>
      <c r="F232" s="101"/>
    </row>
    <row r="233">
      <c r="A233" s="57"/>
      <c r="F233" s="101"/>
    </row>
    <row r="234">
      <c r="A234" s="57"/>
      <c r="F234" s="101"/>
    </row>
    <row r="235">
      <c r="A235" s="57"/>
      <c r="F235" s="101"/>
    </row>
    <row r="236">
      <c r="A236" s="57"/>
      <c r="F236" s="101"/>
    </row>
    <row r="237">
      <c r="A237" s="57"/>
      <c r="F237" s="101"/>
    </row>
    <row r="238">
      <c r="A238" s="57"/>
      <c r="F238" s="101"/>
    </row>
    <row r="239">
      <c r="A239" s="57"/>
      <c r="F239" s="101"/>
    </row>
    <row r="240">
      <c r="A240" s="57"/>
      <c r="F240" s="101"/>
    </row>
    <row r="241">
      <c r="A241" s="57"/>
      <c r="F241" s="101"/>
    </row>
    <row r="242">
      <c r="A242" s="57"/>
      <c r="F242" s="101"/>
    </row>
    <row r="243">
      <c r="A243" s="57"/>
      <c r="F243" s="101"/>
    </row>
    <row r="244">
      <c r="A244" s="57"/>
      <c r="F244" s="101"/>
    </row>
    <row r="245">
      <c r="A245" s="57"/>
      <c r="F245" s="101"/>
    </row>
    <row r="246">
      <c r="A246" s="57"/>
      <c r="F246" s="101"/>
    </row>
    <row r="247">
      <c r="A247" s="57"/>
      <c r="F247" s="101"/>
    </row>
    <row r="248">
      <c r="A248" s="57"/>
      <c r="F248" s="101"/>
    </row>
    <row r="249">
      <c r="A249" s="57"/>
      <c r="F249" s="101"/>
    </row>
    <row r="250">
      <c r="A250" s="57"/>
      <c r="F250" s="101"/>
    </row>
    <row r="251">
      <c r="A251" s="57"/>
      <c r="F251" s="101"/>
    </row>
    <row r="252">
      <c r="A252" s="57"/>
      <c r="F252" s="101"/>
    </row>
    <row r="253">
      <c r="A253" s="57"/>
      <c r="F253" s="101"/>
    </row>
    <row r="254">
      <c r="A254" s="57"/>
      <c r="F254" s="101"/>
    </row>
    <row r="255">
      <c r="A255" s="57"/>
      <c r="F255" s="101"/>
    </row>
    <row r="256">
      <c r="A256" s="57"/>
      <c r="F256" s="101"/>
    </row>
    <row r="257">
      <c r="A257" s="57"/>
      <c r="F257" s="101"/>
    </row>
    <row r="258">
      <c r="A258" s="57"/>
      <c r="F258" s="101"/>
    </row>
    <row r="259">
      <c r="A259" s="57"/>
      <c r="F259" s="101"/>
    </row>
    <row r="260">
      <c r="A260" s="57"/>
      <c r="F260" s="101"/>
    </row>
    <row r="261">
      <c r="A261" s="57"/>
      <c r="F261" s="101"/>
    </row>
    <row r="262">
      <c r="A262" s="57"/>
      <c r="F262" s="101"/>
    </row>
    <row r="263">
      <c r="A263" s="57"/>
      <c r="F263" s="101"/>
    </row>
    <row r="264">
      <c r="A264" s="57"/>
      <c r="F264" s="101"/>
    </row>
    <row r="265">
      <c r="A265" s="57"/>
      <c r="F265" s="101"/>
    </row>
    <row r="266">
      <c r="A266" s="57"/>
      <c r="F266" s="101"/>
    </row>
    <row r="267">
      <c r="A267" s="57"/>
      <c r="F267" s="101"/>
    </row>
    <row r="268">
      <c r="A268" s="57"/>
      <c r="F268" s="101"/>
    </row>
    <row r="269">
      <c r="A269" s="57"/>
      <c r="F269" s="101"/>
    </row>
    <row r="270">
      <c r="A270" s="57"/>
      <c r="F270" s="101"/>
    </row>
    <row r="271">
      <c r="A271" s="57"/>
      <c r="F271" s="101"/>
    </row>
    <row r="272">
      <c r="A272" s="57"/>
      <c r="F272" s="101"/>
    </row>
    <row r="273">
      <c r="A273" s="57"/>
      <c r="F273" s="101"/>
    </row>
    <row r="274">
      <c r="A274" s="57"/>
      <c r="F274" s="101"/>
    </row>
    <row r="275">
      <c r="A275" s="57"/>
      <c r="F275" s="101"/>
    </row>
    <row r="276">
      <c r="A276" s="57"/>
      <c r="F276" s="101"/>
    </row>
    <row r="277">
      <c r="A277" s="57"/>
      <c r="F277" s="101"/>
    </row>
    <row r="278">
      <c r="A278" s="57"/>
      <c r="F278" s="101"/>
    </row>
    <row r="279">
      <c r="A279" s="57"/>
      <c r="F279" s="101"/>
    </row>
    <row r="280">
      <c r="A280" s="57"/>
      <c r="F280" s="101"/>
    </row>
    <row r="281">
      <c r="A281" s="57"/>
      <c r="F281" s="101"/>
    </row>
    <row r="282">
      <c r="A282" s="57"/>
      <c r="F282" s="101"/>
    </row>
    <row r="283">
      <c r="A283" s="57"/>
      <c r="F283" s="101"/>
    </row>
    <row r="284">
      <c r="A284" s="57"/>
      <c r="F284" s="101"/>
    </row>
    <row r="285">
      <c r="A285" s="57"/>
      <c r="F285" s="101"/>
    </row>
    <row r="286">
      <c r="A286" s="57"/>
      <c r="F286" s="101"/>
    </row>
    <row r="287">
      <c r="A287" s="57"/>
      <c r="F287" s="101"/>
    </row>
    <row r="288">
      <c r="A288" s="57"/>
      <c r="F288" s="101"/>
    </row>
    <row r="289">
      <c r="A289" s="57"/>
      <c r="F289" s="101"/>
    </row>
    <row r="290">
      <c r="A290" s="57"/>
      <c r="F290" s="101"/>
    </row>
    <row r="291">
      <c r="A291" s="57"/>
      <c r="F291" s="101"/>
    </row>
    <row r="292">
      <c r="A292" s="57"/>
      <c r="F292" s="101"/>
    </row>
    <row r="293">
      <c r="A293" s="57"/>
      <c r="F293" s="101"/>
    </row>
    <row r="294">
      <c r="A294" s="57"/>
      <c r="F294" s="101"/>
    </row>
    <row r="295">
      <c r="A295" s="57"/>
      <c r="F295" s="101"/>
    </row>
    <row r="296">
      <c r="A296" s="57"/>
      <c r="F296" s="101"/>
    </row>
    <row r="297">
      <c r="A297" s="57"/>
      <c r="F297" s="101"/>
    </row>
    <row r="298">
      <c r="A298" s="57"/>
      <c r="F298" s="101"/>
    </row>
    <row r="299">
      <c r="A299" s="57"/>
      <c r="F299" s="101"/>
    </row>
    <row r="300">
      <c r="A300" s="57"/>
      <c r="F300" s="101"/>
    </row>
    <row r="301">
      <c r="A301" s="57"/>
      <c r="F301" s="101"/>
    </row>
    <row r="302">
      <c r="A302" s="57"/>
      <c r="F302" s="101"/>
    </row>
    <row r="303">
      <c r="A303" s="57"/>
      <c r="F303" s="101"/>
    </row>
    <row r="304">
      <c r="A304" s="57"/>
      <c r="F304" s="101"/>
    </row>
    <row r="305">
      <c r="A305" s="57"/>
      <c r="F305" s="101"/>
    </row>
    <row r="306">
      <c r="A306" s="57"/>
      <c r="F306" s="101"/>
    </row>
    <row r="307">
      <c r="A307" s="57"/>
      <c r="F307" s="101"/>
    </row>
    <row r="308">
      <c r="A308" s="57"/>
      <c r="F308" s="101"/>
    </row>
    <row r="309">
      <c r="A309" s="57"/>
      <c r="F309" s="101"/>
    </row>
    <row r="310">
      <c r="A310" s="57"/>
      <c r="F310" s="101"/>
    </row>
    <row r="311">
      <c r="A311" s="57"/>
      <c r="F311" s="101"/>
    </row>
    <row r="312">
      <c r="A312" s="57"/>
      <c r="F312" s="101"/>
    </row>
    <row r="313">
      <c r="A313" s="57"/>
      <c r="F313" s="101"/>
    </row>
    <row r="314">
      <c r="A314" s="57"/>
      <c r="F314" s="101"/>
    </row>
    <row r="315">
      <c r="A315" s="57"/>
      <c r="F315" s="101"/>
    </row>
    <row r="316">
      <c r="A316" s="57"/>
      <c r="F316" s="101"/>
    </row>
    <row r="317">
      <c r="A317" s="57"/>
      <c r="F317" s="101"/>
    </row>
    <row r="318">
      <c r="A318" s="57"/>
      <c r="F318" s="101"/>
    </row>
    <row r="319">
      <c r="A319" s="57"/>
      <c r="F319" s="101"/>
    </row>
    <row r="320">
      <c r="A320" s="57"/>
      <c r="F320" s="101"/>
    </row>
    <row r="321">
      <c r="A321" s="57"/>
      <c r="F321" s="101"/>
    </row>
    <row r="322">
      <c r="A322" s="57"/>
      <c r="F322" s="101"/>
    </row>
    <row r="323">
      <c r="A323" s="57"/>
      <c r="F323" s="101"/>
    </row>
    <row r="324">
      <c r="A324" s="57"/>
      <c r="F324" s="101"/>
    </row>
    <row r="325">
      <c r="A325" s="57"/>
      <c r="F325" s="101"/>
    </row>
    <row r="326">
      <c r="A326" s="57"/>
      <c r="F326" s="101"/>
    </row>
    <row r="327">
      <c r="A327" s="57"/>
      <c r="F327" s="101"/>
    </row>
    <row r="328">
      <c r="A328" s="57"/>
      <c r="F328" s="101"/>
    </row>
    <row r="329">
      <c r="A329" s="57"/>
      <c r="F329" s="101"/>
    </row>
    <row r="330">
      <c r="A330" s="57"/>
      <c r="F330" s="101"/>
    </row>
    <row r="331">
      <c r="A331" s="57"/>
      <c r="F331" s="101"/>
    </row>
    <row r="332">
      <c r="A332" s="57"/>
      <c r="F332" s="101"/>
    </row>
    <row r="333">
      <c r="A333" s="57"/>
      <c r="F333" s="101"/>
    </row>
    <row r="334">
      <c r="A334" s="57"/>
      <c r="F334" s="101"/>
    </row>
    <row r="335">
      <c r="A335" s="57"/>
      <c r="F335" s="101"/>
    </row>
    <row r="336">
      <c r="A336" s="57"/>
      <c r="F336" s="101"/>
    </row>
    <row r="337">
      <c r="A337" s="57"/>
      <c r="F337" s="101"/>
    </row>
    <row r="338">
      <c r="A338" s="57"/>
      <c r="F338" s="101"/>
    </row>
    <row r="339">
      <c r="A339" s="57"/>
      <c r="F339" s="101"/>
    </row>
    <row r="340">
      <c r="A340" s="57"/>
      <c r="F340" s="101"/>
    </row>
    <row r="341">
      <c r="A341" s="57"/>
      <c r="F341" s="101"/>
    </row>
    <row r="342">
      <c r="A342" s="57"/>
      <c r="F342" s="101"/>
    </row>
    <row r="343">
      <c r="A343" s="57"/>
      <c r="F343" s="101"/>
    </row>
    <row r="344">
      <c r="A344" s="57"/>
      <c r="F344" s="101"/>
    </row>
    <row r="345">
      <c r="A345" s="57"/>
      <c r="F345" s="101"/>
    </row>
    <row r="346">
      <c r="A346" s="57"/>
      <c r="F346" s="101"/>
    </row>
    <row r="347">
      <c r="A347" s="57"/>
      <c r="F347" s="101"/>
    </row>
    <row r="348">
      <c r="A348" s="57"/>
      <c r="F348" s="101"/>
    </row>
    <row r="349">
      <c r="A349" s="57"/>
      <c r="F349" s="101"/>
    </row>
    <row r="350">
      <c r="A350" s="57"/>
      <c r="F350" s="101"/>
    </row>
    <row r="351">
      <c r="A351" s="57"/>
      <c r="F351" s="101"/>
    </row>
    <row r="352">
      <c r="A352" s="57"/>
      <c r="F352" s="101"/>
    </row>
    <row r="353">
      <c r="A353" s="57"/>
      <c r="F353" s="101"/>
    </row>
    <row r="354">
      <c r="A354" s="57"/>
      <c r="F354" s="101"/>
    </row>
    <row r="355">
      <c r="A355" s="57"/>
      <c r="F355" s="101"/>
    </row>
    <row r="356">
      <c r="A356" s="57"/>
      <c r="F356" s="101"/>
    </row>
    <row r="357">
      <c r="A357" s="57"/>
      <c r="F357" s="101"/>
    </row>
    <row r="358">
      <c r="A358" s="57"/>
      <c r="F358" s="101"/>
    </row>
    <row r="359">
      <c r="A359" s="57"/>
      <c r="F359" s="101"/>
    </row>
    <row r="360">
      <c r="A360" s="57"/>
      <c r="F360" s="101"/>
    </row>
    <row r="361">
      <c r="A361" s="57"/>
      <c r="F361" s="101"/>
    </row>
    <row r="362">
      <c r="A362" s="57"/>
      <c r="F362" s="101"/>
    </row>
    <row r="363">
      <c r="A363" s="57"/>
      <c r="F363" s="101"/>
    </row>
    <row r="364">
      <c r="A364" s="57"/>
      <c r="F364" s="101"/>
    </row>
    <row r="365">
      <c r="A365" s="57"/>
      <c r="F365" s="101"/>
    </row>
    <row r="366">
      <c r="A366" s="57"/>
      <c r="F366" s="101"/>
    </row>
    <row r="367">
      <c r="A367" s="57"/>
      <c r="F367" s="101"/>
    </row>
    <row r="368">
      <c r="A368" s="57"/>
      <c r="F368" s="101"/>
    </row>
    <row r="369">
      <c r="A369" s="57"/>
      <c r="F369" s="101"/>
    </row>
    <row r="370">
      <c r="A370" s="57"/>
      <c r="F370" s="101"/>
    </row>
    <row r="371">
      <c r="A371" s="57"/>
      <c r="F371" s="101"/>
    </row>
    <row r="372">
      <c r="A372" s="57"/>
      <c r="F372" s="101"/>
    </row>
    <row r="373">
      <c r="A373" s="57"/>
      <c r="F373" s="101"/>
    </row>
    <row r="374">
      <c r="A374" s="57"/>
      <c r="F374" s="101"/>
    </row>
    <row r="375">
      <c r="A375" s="57"/>
      <c r="F375" s="101"/>
    </row>
    <row r="376">
      <c r="A376" s="57"/>
      <c r="F376" s="101"/>
    </row>
    <row r="377">
      <c r="A377" s="57"/>
      <c r="F377" s="101"/>
    </row>
    <row r="378">
      <c r="A378" s="57"/>
      <c r="F378" s="101"/>
    </row>
    <row r="379">
      <c r="A379" s="57"/>
      <c r="F379" s="101"/>
    </row>
    <row r="380">
      <c r="A380" s="57"/>
      <c r="F380" s="101"/>
    </row>
    <row r="381">
      <c r="A381" s="57"/>
      <c r="F381" s="101"/>
    </row>
    <row r="382">
      <c r="A382" s="57"/>
      <c r="F382" s="101"/>
    </row>
    <row r="383">
      <c r="A383" s="57"/>
      <c r="F383" s="101"/>
    </row>
    <row r="384">
      <c r="A384" s="57"/>
      <c r="F384" s="101"/>
    </row>
    <row r="385">
      <c r="A385" s="57"/>
      <c r="F385" s="101"/>
    </row>
    <row r="386">
      <c r="A386" s="57"/>
      <c r="F386" s="101"/>
    </row>
    <row r="387">
      <c r="A387" s="57"/>
      <c r="F387" s="101"/>
    </row>
    <row r="388">
      <c r="A388" s="57"/>
      <c r="F388" s="101"/>
    </row>
    <row r="389">
      <c r="A389" s="57"/>
      <c r="F389" s="101"/>
    </row>
    <row r="390">
      <c r="A390" s="57"/>
      <c r="F390" s="101"/>
    </row>
    <row r="391">
      <c r="A391" s="57"/>
      <c r="F391" s="101"/>
    </row>
    <row r="392">
      <c r="A392" s="57"/>
      <c r="F392" s="101"/>
    </row>
    <row r="393">
      <c r="A393" s="57"/>
      <c r="F393" s="101"/>
    </row>
    <row r="394">
      <c r="A394" s="57"/>
      <c r="F394" s="101"/>
    </row>
    <row r="395">
      <c r="A395" s="57"/>
      <c r="F395" s="101"/>
    </row>
    <row r="396">
      <c r="A396" s="57"/>
      <c r="F396" s="101"/>
    </row>
    <row r="397">
      <c r="A397" s="57"/>
      <c r="F397" s="101"/>
    </row>
    <row r="398">
      <c r="A398" s="57"/>
      <c r="F398" s="101"/>
    </row>
    <row r="399">
      <c r="A399" s="57"/>
      <c r="F399" s="101"/>
    </row>
    <row r="400">
      <c r="A400" s="57"/>
      <c r="F400" s="101"/>
    </row>
    <row r="401">
      <c r="A401" s="57"/>
      <c r="F401" s="101"/>
    </row>
    <row r="402">
      <c r="A402" s="57"/>
      <c r="F402" s="101"/>
    </row>
    <row r="403">
      <c r="A403" s="57"/>
      <c r="F403" s="101"/>
    </row>
    <row r="404">
      <c r="A404" s="57"/>
      <c r="F404" s="101"/>
    </row>
    <row r="405">
      <c r="A405" s="57"/>
      <c r="F405" s="101"/>
    </row>
    <row r="406">
      <c r="A406" s="57"/>
      <c r="F406" s="101"/>
    </row>
    <row r="407">
      <c r="A407" s="57"/>
      <c r="F407" s="101"/>
    </row>
    <row r="408">
      <c r="A408" s="57"/>
      <c r="F408" s="101"/>
    </row>
    <row r="409">
      <c r="A409" s="57"/>
      <c r="F409" s="101"/>
    </row>
    <row r="410">
      <c r="A410" s="57"/>
      <c r="F410" s="101"/>
    </row>
    <row r="411">
      <c r="A411" s="57"/>
      <c r="F411" s="101"/>
    </row>
    <row r="412">
      <c r="A412" s="57"/>
      <c r="F412" s="101"/>
    </row>
    <row r="413">
      <c r="A413" s="57"/>
      <c r="F413" s="101"/>
    </row>
    <row r="414">
      <c r="A414" s="57"/>
      <c r="F414" s="101"/>
    </row>
    <row r="415">
      <c r="A415" s="57"/>
      <c r="F415" s="101"/>
    </row>
    <row r="416">
      <c r="A416" s="57"/>
      <c r="F416" s="101"/>
    </row>
    <row r="417">
      <c r="A417" s="57"/>
      <c r="F417" s="101"/>
    </row>
    <row r="418">
      <c r="A418" s="57"/>
      <c r="F418" s="101"/>
    </row>
    <row r="419">
      <c r="A419" s="57"/>
      <c r="F419" s="101"/>
    </row>
    <row r="420">
      <c r="A420" s="57"/>
      <c r="F420" s="101"/>
    </row>
    <row r="421">
      <c r="A421" s="57"/>
      <c r="F421" s="101"/>
    </row>
    <row r="422">
      <c r="A422" s="57"/>
      <c r="F422" s="101"/>
    </row>
    <row r="423">
      <c r="A423" s="57"/>
      <c r="F423" s="101"/>
    </row>
    <row r="424">
      <c r="A424" s="57"/>
      <c r="F424" s="101"/>
    </row>
    <row r="425">
      <c r="A425" s="57"/>
      <c r="F425" s="101"/>
    </row>
    <row r="426">
      <c r="A426" s="57"/>
      <c r="F426" s="101"/>
    </row>
    <row r="427">
      <c r="A427" s="57"/>
      <c r="F427" s="101"/>
    </row>
    <row r="428">
      <c r="A428" s="57"/>
      <c r="F428" s="101"/>
    </row>
    <row r="429">
      <c r="A429" s="57"/>
      <c r="F429" s="101"/>
    </row>
    <row r="430">
      <c r="A430" s="57"/>
      <c r="F430" s="101"/>
    </row>
    <row r="431">
      <c r="A431" s="57"/>
      <c r="F431" s="101"/>
    </row>
    <row r="432">
      <c r="A432" s="57"/>
      <c r="F432" s="101"/>
    </row>
    <row r="433">
      <c r="A433" s="57"/>
      <c r="F433" s="101"/>
    </row>
    <row r="434">
      <c r="A434" s="57"/>
      <c r="F434" s="101"/>
    </row>
    <row r="435">
      <c r="A435" s="57"/>
      <c r="F435" s="101"/>
    </row>
    <row r="436">
      <c r="A436" s="57"/>
      <c r="F436" s="101"/>
    </row>
    <row r="437">
      <c r="A437" s="57"/>
      <c r="F437" s="101"/>
    </row>
    <row r="438">
      <c r="A438" s="57"/>
      <c r="F438" s="101"/>
    </row>
    <row r="439">
      <c r="A439" s="57"/>
      <c r="F439" s="101"/>
    </row>
    <row r="440">
      <c r="A440" s="57"/>
      <c r="F440" s="101"/>
    </row>
    <row r="441">
      <c r="A441" s="57"/>
      <c r="F441" s="101"/>
    </row>
    <row r="442">
      <c r="A442" s="57"/>
      <c r="F442" s="101"/>
    </row>
    <row r="443">
      <c r="A443" s="57"/>
      <c r="F443" s="101"/>
    </row>
    <row r="444">
      <c r="A444" s="57"/>
      <c r="F444" s="101"/>
    </row>
    <row r="445">
      <c r="A445" s="57"/>
      <c r="F445" s="101"/>
    </row>
    <row r="446">
      <c r="A446" s="57"/>
      <c r="F446" s="101"/>
    </row>
    <row r="447">
      <c r="A447" s="57"/>
      <c r="F447" s="101"/>
    </row>
    <row r="448">
      <c r="A448" s="57"/>
      <c r="F448" s="101"/>
    </row>
    <row r="449">
      <c r="A449" s="57"/>
      <c r="F449" s="101"/>
    </row>
    <row r="450">
      <c r="A450" s="57"/>
      <c r="F450" s="101"/>
    </row>
    <row r="451">
      <c r="A451" s="57"/>
      <c r="F451" s="101"/>
    </row>
    <row r="452">
      <c r="A452" s="57"/>
      <c r="F452" s="101"/>
    </row>
    <row r="453">
      <c r="A453" s="57"/>
      <c r="F453" s="101"/>
    </row>
    <row r="454">
      <c r="A454" s="57"/>
      <c r="F454" s="101"/>
    </row>
    <row r="455">
      <c r="A455" s="57"/>
      <c r="F455" s="101"/>
    </row>
    <row r="456">
      <c r="A456" s="57"/>
      <c r="F456" s="101"/>
    </row>
    <row r="457">
      <c r="A457" s="57"/>
      <c r="F457" s="101"/>
    </row>
    <row r="458">
      <c r="A458" s="57"/>
      <c r="F458" s="101"/>
    </row>
    <row r="459">
      <c r="A459" s="57"/>
      <c r="F459" s="101"/>
    </row>
    <row r="460">
      <c r="A460" s="57"/>
      <c r="F460" s="101"/>
    </row>
    <row r="461">
      <c r="A461" s="57"/>
      <c r="F461" s="101"/>
    </row>
    <row r="462">
      <c r="A462" s="57"/>
      <c r="F462" s="101"/>
    </row>
    <row r="463">
      <c r="A463" s="57"/>
      <c r="F463" s="101"/>
    </row>
    <row r="464">
      <c r="A464" s="57"/>
      <c r="F464" s="101"/>
    </row>
    <row r="465">
      <c r="A465" s="57"/>
      <c r="F465" s="101"/>
    </row>
    <row r="466">
      <c r="A466" s="57"/>
      <c r="F466" s="101"/>
    </row>
    <row r="467">
      <c r="A467" s="57"/>
      <c r="F467" s="101"/>
    </row>
    <row r="468">
      <c r="A468" s="57"/>
      <c r="F468" s="101"/>
    </row>
    <row r="469">
      <c r="A469" s="57"/>
      <c r="F469" s="101"/>
    </row>
    <row r="470">
      <c r="A470" s="57"/>
      <c r="F470" s="101"/>
    </row>
    <row r="471">
      <c r="A471" s="57"/>
      <c r="F471" s="101"/>
    </row>
    <row r="472">
      <c r="A472" s="57"/>
      <c r="F472" s="101"/>
    </row>
    <row r="473">
      <c r="A473" s="57"/>
      <c r="F473" s="101"/>
    </row>
    <row r="474">
      <c r="A474" s="57"/>
      <c r="F474" s="101"/>
    </row>
    <row r="475">
      <c r="A475" s="57"/>
      <c r="F475" s="101"/>
    </row>
    <row r="476">
      <c r="A476" s="57"/>
      <c r="F476" s="101"/>
    </row>
    <row r="477">
      <c r="A477" s="57"/>
      <c r="F477" s="101"/>
    </row>
    <row r="478">
      <c r="A478" s="57"/>
      <c r="F478" s="101"/>
    </row>
    <row r="479">
      <c r="A479" s="57"/>
      <c r="F479" s="101"/>
    </row>
    <row r="480">
      <c r="A480" s="57"/>
      <c r="F480" s="101"/>
    </row>
    <row r="481">
      <c r="A481" s="57"/>
      <c r="F481" s="101"/>
    </row>
    <row r="482">
      <c r="A482" s="57"/>
      <c r="F482" s="101"/>
    </row>
    <row r="483">
      <c r="A483" s="57"/>
      <c r="F483" s="101"/>
    </row>
    <row r="484">
      <c r="A484" s="57"/>
      <c r="F484" s="101"/>
    </row>
    <row r="485">
      <c r="A485" s="57"/>
      <c r="F485" s="101"/>
    </row>
    <row r="486">
      <c r="A486" s="57"/>
      <c r="F486" s="101"/>
    </row>
    <row r="487">
      <c r="A487" s="57"/>
      <c r="F487" s="101"/>
    </row>
    <row r="488">
      <c r="A488" s="57"/>
      <c r="F488" s="101"/>
    </row>
    <row r="489">
      <c r="A489" s="57"/>
      <c r="F489" s="101"/>
    </row>
    <row r="490">
      <c r="A490" s="57"/>
      <c r="F490" s="101"/>
    </row>
    <row r="491">
      <c r="A491" s="57"/>
      <c r="F491" s="101"/>
    </row>
    <row r="492">
      <c r="A492" s="57"/>
      <c r="F492" s="101"/>
    </row>
    <row r="493">
      <c r="A493" s="57"/>
      <c r="F493" s="101"/>
    </row>
    <row r="494">
      <c r="A494" s="57"/>
      <c r="F494" s="101"/>
    </row>
    <row r="495">
      <c r="A495" s="57"/>
      <c r="F495" s="101"/>
    </row>
    <row r="496">
      <c r="A496" s="57"/>
      <c r="F496" s="101"/>
    </row>
    <row r="497">
      <c r="A497" s="57"/>
      <c r="F497" s="101"/>
    </row>
    <row r="498">
      <c r="A498" s="57"/>
      <c r="F498" s="101"/>
    </row>
    <row r="499">
      <c r="A499" s="57"/>
      <c r="F499" s="101"/>
    </row>
    <row r="500">
      <c r="A500" s="57"/>
      <c r="F500" s="101"/>
    </row>
    <row r="501">
      <c r="A501" s="57"/>
      <c r="F501" s="101"/>
    </row>
    <row r="502">
      <c r="A502" s="57"/>
      <c r="F502" s="101"/>
    </row>
    <row r="503">
      <c r="A503" s="57"/>
      <c r="F503" s="101"/>
    </row>
    <row r="504">
      <c r="A504" s="57"/>
      <c r="F504" s="101"/>
    </row>
    <row r="505">
      <c r="A505" s="57"/>
      <c r="F505" s="101"/>
    </row>
    <row r="506">
      <c r="A506" s="57"/>
      <c r="F506" s="101"/>
    </row>
    <row r="507">
      <c r="A507" s="57"/>
      <c r="F507" s="101"/>
    </row>
    <row r="508">
      <c r="A508" s="57"/>
      <c r="F508" s="101"/>
    </row>
    <row r="509">
      <c r="A509" s="57"/>
      <c r="F509" s="101"/>
    </row>
    <row r="510">
      <c r="A510" s="57"/>
      <c r="F510" s="101"/>
    </row>
    <row r="511">
      <c r="A511" s="57"/>
      <c r="F511" s="101"/>
    </row>
    <row r="512">
      <c r="A512" s="57"/>
      <c r="F512" s="101"/>
    </row>
    <row r="513">
      <c r="A513" s="57"/>
      <c r="F513" s="101"/>
    </row>
    <row r="514">
      <c r="A514" s="57"/>
      <c r="F514" s="101"/>
    </row>
    <row r="515">
      <c r="A515" s="57"/>
      <c r="F515" s="101"/>
    </row>
    <row r="516">
      <c r="A516" s="57"/>
      <c r="F516" s="101"/>
    </row>
    <row r="517">
      <c r="A517" s="57"/>
      <c r="F517" s="101"/>
    </row>
    <row r="518">
      <c r="A518" s="57"/>
      <c r="F518" s="101"/>
    </row>
    <row r="519">
      <c r="A519" s="57"/>
      <c r="F519" s="101"/>
    </row>
    <row r="520">
      <c r="A520" s="57"/>
      <c r="F520" s="101"/>
    </row>
    <row r="521">
      <c r="A521" s="57"/>
      <c r="F521" s="101"/>
    </row>
    <row r="522">
      <c r="A522" s="57"/>
      <c r="F522" s="101"/>
    </row>
    <row r="523">
      <c r="A523" s="57"/>
      <c r="F523" s="101"/>
    </row>
    <row r="524">
      <c r="A524" s="57"/>
      <c r="F524" s="101"/>
    </row>
    <row r="525">
      <c r="A525" s="57"/>
      <c r="F525" s="101"/>
    </row>
    <row r="526">
      <c r="A526" s="57"/>
      <c r="F526" s="101"/>
    </row>
    <row r="527">
      <c r="A527" s="57"/>
      <c r="F527" s="101"/>
    </row>
    <row r="528">
      <c r="A528" s="57"/>
      <c r="F528" s="101"/>
    </row>
    <row r="529">
      <c r="A529" s="57"/>
      <c r="F529" s="101"/>
    </row>
    <row r="530">
      <c r="A530" s="57"/>
      <c r="F530" s="101"/>
    </row>
    <row r="531">
      <c r="A531" s="57"/>
      <c r="F531" s="101"/>
    </row>
    <row r="532">
      <c r="A532" s="57"/>
      <c r="F532" s="101"/>
    </row>
    <row r="533">
      <c r="A533" s="57"/>
      <c r="F533" s="101"/>
    </row>
    <row r="534">
      <c r="A534" s="57"/>
      <c r="F534" s="101"/>
    </row>
    <row r="535">
      <c r="A535" s="57"/>
      <c r="F535" s="101"/>
    </row>
    <row r="536">
      <c r="A536" s="57"/>
      <c r="F536" s="101"/>
    </row>
    <row r="537">
      <c r="A537" s="57"/>
      <c r="F537" s="101"/>
    </row>
    <row r="538">
      <c r="A538" s="57"/>
      <c r="F538" s="101"/>
    </row>
    <row r="539">
      <c r="A539" s="57"/>
      <c r="F539" s="101"/>
    </row>
    <row r="540">
      <c r="A540" s="57"/>
      <c r="F540" s="101"/>
    </row>
    <row r="541">
      <c r="A541" s="57"/>
      <c r="F541" s="101"/>
    </row>
    <row r="542">
      <c r="A542" s="57"/>
      <c r="F542" s="101"/>
    </row>
    <row r="543">
      <c r="A543" s="57"/>
      <c r="F543" s="101"/>
    </row>
    <row r="544">
      <c r="A544" s="57"/>
      <c r="F544" s="101"/>
    </row>
    <row r="545">
      <c r="A545" s="57"/>
      <c r="F545" s="101"/>
    </row>
    <row r="546">
      <c r="A546" s="57"/>
      <c r="F546" s="101"/>
    </row>
    <row r="547">
      <c r="A547" s="57"/>
      <c r="F547" s="101"/>
    </row>
    <row r="548">
      <c r="A548" s="57"/>
      <c r="F548" s="101"/>
    </row>
    <row r="549">
      <c r="A549" s="57"/>
      <c r="F549" s="101"/>
    </row>
    <row r="550">
      <c r="A550" s="57"/>
      <c r="F550" s="101"/>
    </row>
    <row r="551">
      <c r="A551" s="57"/>
      <c r="F551" s="101"/>
    </row>
    <row r="552">
      <c r="A552" s="57"/>
      <c r="F552" s="101"/>
    </row>
    <row r="553">
      <c r="A553" s="57"/>
      <c r="F553" s="101"/>
    </row>
    <row r="554">
      <c r="A554" s="57"/>
      <c r="F554" s="101"/>
    </row>
    <row r="555">
      <c r="A555" s="57"/>
      <c r="F555" s="101"/>
    </row>
    <row r="556">
      <c r="A556" s="57"/>
      <c r="F556" s="101"/>
    </row>
    <row r="557">
      <c r="A557" s="57"/>
      <c r="F557" s="101"/>
    </row>
    <row r="558">
      <c r="A558" s="57"/>
      <c r="F558" s="101"/>
    </row>
    <row r="559">
      <c r="A559" s="57"/>
      <c r="F559" s="101"/>
    </row>
    <row r="560">
      <c r="A560" s="57"/>
      <c r="F560" s="101"/>
    </row>
    <row r="561">
      <c r="A561" s="57"/>
      <c r="F561" s="101"/>
    </row>
    <row r="562">
      <c r="A562" s="57"/>
      <c r="F562" s="101"/>
    </row>
    <row r="563">
      <c r="A563" s="57"/>
      <c r="F563" s="101"/>
    </row>
    <row r="564">
      <c r="A564" s="57"/>
      <c r="F564" s="101"/>
    </row>
    <row r="565">
      <c r="A565" s="57"/>
      <c r="F565" s="101"/>
    </row>
    <row r="566">
      <c r="A566" s="57"/>
      <c r="F566" s="101"/>
    </row>
    <row r="567">
      <c r="A567" s="57"/>
      <c r="F567" s="101"/>
    </row>
    <row r="568">
      <c r="A568" s="57"/>
      <c r="F568" s="101"/>
    </row>
    <row r="569">
      <c r="A569" s="57"/>
      <c r="F569" s="101"/>
    </row>
    <row r="570">
      <c r="A570" s="57"/>
      <c r="F570" s="101"/>
    </row>
    <row r="571">
      <c r="A571" s="57"/>
      <c r="F571" s="101"/>
    </row>
    <row r="572">
      <c r="A572" s="57"/>
      <c r="F572" s="101"/>
    </row>
    <row r="573">
      <c r="A573" s="57"/>
      <c r="F573" s="101"/>
    </row>
    <row r="574">
      <c r="A574" s="57"/>
      <c r="F574" s="101"/>
    </row>
    <row r="575">
      <c r="A575" s="57"/>
      <c r="F575" s="101"/>
    </row>
    <row r="576">
      <c r="A576" s="57"/>
      <c r="F576" s="101"/>
    </row>
    <row r="577">
      <c r="A577" s="57"/>
      <c r="F577" s="101"/>
    </row>
    <row r="578">
      <c r="A578" s="57"/>
      <c r="F578" s="101"/>
    </row>
    <row r="579">
      <c r="A579" s="57"/>
      <c r="F579" s="101"/>
    </row>
    <row r="580">
      <c r="A580" s="57"/>
      <c r="F580" s="101"/>
    </row>
    <row r="581">
      <c r="A581" s="57"/>
      <c r="F581" s="101"/>
    </row>
    <row r="582">
      <c r="A582" s="57"/>
      <c r="F582" s="101"/>
    </row>
    <row r="583">
      <c r="A583" s="57"/>
      <c r="F583" s="101"/>
    </row>
    <row r="584">
      <c r="A584" s="57"/>
      <c r="F584" s="101"/>
    </row>
    <row r="585">
      <c r="A585" s="57"/>
      <c r="F585" s="101"/>
    </row>
    <row r="586">
      <c r="A586" s="57"/>
      <c r="F586" s="101"/>
    </row>
    <row r="587">
      <c r="A587" s="57"/>
      <c r="F587" s="101"/>
    </row>
    <row r="588">
      <c r="A588" s="57"/>
      <c r="F588" s="101"/>
    </row>
    <row r="589">
      <c r="A589" s="57"/>
      <c r="F589" s="101"/>
    </row>
    <row r="590">
      <c r="A590" s="57"/>
      <c r="F590" s="101"/>
    </row>
    <row r="591">
      <c r="A591" s="57"/>
      <c r="F591" s="101"/>
    </row>
    <row r="592">
      <c r="A592" s="57"/>
      <c r="F592" s="101"/>
    </row>
    <row r="593">
      <c r="A593" s="57"/>
      <c r="F593" s="101"/>
    </row>
    <row r="594">
      <c r="A594" s="57"/>
      <c r="F594" s="101"/>
    </row>
    <row r="595">
      <c r="A595" s="57"/>
      <c r="F595" s="101"/>
    </row>
    <row r="596">
      <c r="A596" s="57"/>
      <c r="F596" s="101"/>
    </row>
    <row r="597">
      <c r="A597" s="57"/>
      <c r="F597" s="101"/>
    </row>
    <row r="598">
      <c r="A598" s="57"/>
      <c r="F598" s="101"/>
    </row>
    <row r="599">
      <c r="A599" s="57"/>
      <c r="F599" s="101"/>
    </row>
    <row r="600">
      <c r="A600" s="57"/>
      <c r="F600" s="101"/>
    </row>
    <row r="601">
      <c r="A601" s="57"/>
      <c r="F601" s="101"/>
    </row>
    <row r="602">
      <c r="A602" s="57"/>
      <c r="F602" s="101"/>
    </row>
    <row r="603">
      <c r="A603" s="57"/>
      <c r="F603" s="101"/>
    </row>
    <row r="604">
      <c r="A604" s="57"/>
      <c r="F604" s="101"/>
    </row>
    <row r="605">
      <c r="A605" s="57"/>
      <c r="F605" s="101"/>
    </row>
    <row r="606">
      <c r="A606" s="57"/>
      <c r="F606" s="101"/>
    </row>
    <row r="607">
      <c r="A607" s="57"/>
      <c r="F607" s="101"/>
    </row>
    <row r="608">
      <c r="A608" s="57"/>
      <c r="F608" s="101"/>
    </row>
    <row r="609">
      <c r="A609" s="57"/>
      <c r="F609" s="101"/>
    </row>
    <row r="610">
      <c r="A610" s="57"/>
      <c r="F610" s="101"/>
    </row>
    <row r="611">
      <c r="A611" s="57"/>
      <c r="F611" s="101"/>
    </row>
    <row r="612">
      <c r="A612" s="57"/>
      <c r="F612" s="101"/>
    </row>
    <row r="613">
      <c r="A613" s="57"/>
      <c r="F613" s="101"/>
    </row>
    <row r="614">
      <c r="A614" s="57"/>
      <c r="F614" s="101"/>
    </row>
    <row r="615">
      <c r="A615" s="57"/>
      <c r="F615" s="101"/>
    </row>
    <row r="616">
      <c r="A616" s="57"/>
      <c r="F616" s="101"/>
    </row>
    <row r="617">
      <c r="A617" s="57"/>
      <c r="F617" s="101"/>
    </row>
    <row r="618">
      <c r="A618" s="57"/>
      <c r="F618" s="101"/>
    </row>
    <row r="619">
      <c r="A619" s="57"/>
      <c r="F619" s="101"/>
    </row>
    <row r="620">
      <c r="A620" s="57"/>
      <c r="F620" s="101"/>
    </row>
    <row r="621">
      <c r="A621" s="57"/>
      <c r="F621" s="101"/>
    </row>
    <row r="622">
      <c r="A622" s="57"/>
      <c r="F622" s="101"/>
    </row>
    <row r="623">
      <c r="A623" s="57"/>
      <c r="F623" s="101"/>
    </row>
    <row r="624">
      <c r="A624" s="57"/>
      <c r="F624" s="101"/>
    </row>
    <row r="625">
      <c r="A625" s="57"/>
      <c r="F625" s="101"/>
    </row>
    <row r="626">
      <c r="A626" s="57"/>
      <c r="F626" s="101"/>
    </row>
    <row r="627">
      <c r="A627" s="57"/>
      <c r="F627" s="101"/>
    </row>
    <row r="628">
      <c r="A628" s="57"/>
      <c r="F628" s="101"/>
    </row>
    <row r="629">
      <c r="A629" s="57"/>
      <c r="F629" s="101"/>
    </row>
    <row r="630">
      <c r="A630" s="57"/>
      <c r="F630" s="101"/>
    </row>
    <row r="631">
      <c r="A631" s="57"/>
      <c r="F631" s="101"/>
    </row>
    <row r="632">
      <c r="A632" s="57"/>
      <c r="F632" s="101"/>
    </row>
    <row r="633">
      <c r="A633" s="57"/>
      <c r="F633" s="101"/>
    </row>
    <row r="634">
      <c r="A634" s="57"/>
      <c r="F634" s="101"/>
    </row>
    <row r="635">
      <c r="A635" s="57"/>
      <c r="F635" s="101"/>
    </row>
    <row r="636">
      <c r="A636" s="57"/>
      <c r="F636" s="101"/>
    </row>
    <row r="637">
      <c r="A637" s="57"/>
      <c r="F637" s="101"/>
    </row>
    <row r="638">
      <c r="A638" s="57"/>
      <c r="F638" s="101"/>
    </row>
    <row r="639">
      <c r="A639" s="57"/>
      <c r="F639" s="101"/>
    </row>
    <row r="640">
      <c r="A640" s="57"/>
      <c r="F640" s="101"/>
    </row>
    <row r="641">
      <c r="A641" s="57"/>
      <c r="F641" s="101"/>
    </row>
    <row r="642">
      <c r="A642" s="57"/>
      <c r="F642" s="101"/>
    </row>
    <row r="643">
      <c r="A643" s="57"/>
      <c r="F643" s="101"/>
    </row>
    <row r="644">
      <c r="A644" s="57"/>
      <c r="F644" s="101"/>
    </row>
    <row r="645">
      <c r="A645" s="57"/>
      <c r="F645" s="101"/>
    </row>
    <row r="646">
      <c r="A646" s="57"/>
      <c r="F646" s="101"/>
    </row>
    <row r="647">
      <c r="A647" s="57"/>
      <c r="F647" s="101"/>
    </row>
    <row r="648">
      <c r="A648" s="57"/>
      <c r="F648" s="101"/>
    </row>
    <row r="649">
      <c r="A649" s="57"/>
      <c r="F649" s="101"/>
    </row>
    <row r="650">
      <c r="A650" s="57"/>
      <c r="F650" s="101"/>
    </row>
    <row r="651">
      <c r="A651" s="57"/>
      <c r="F651" s="101"/>
    </row>
    <row r="652">
      <c r="A652" s="57"/>
      <c r="F652" s="101"/>
    </row>
    <row r="653">
      <c r="A653" s="57"/>
      <c r="F653" s="101"/>
    </row>
    <row r="654">
      <c r="A654" s="57"/>
      <c r="F654" s="101"/>
    </row>
    <row r="655">
      <c r="A655" s="57"/>
      <c r="F655" s="101"/>
    </row>
    <row r="656">
      <c r="A656" s="57"/>
      <c r="F656" s="101"/>
    </row>
    <row r="657">
      <c r="A657" s="57"/>
      <c r="F657" s="101"/>
    </row>
    <row r="658">
      <c r="A658" s="57"/>
      <c r="F658" s="101"/>
    </row>
    <row r="659">
      <c r="A659" s="57"/>
      <c r="F659" s="101"/>
    </row>
    <row r="660">
      <c r="A660" s="57"/>
      <c r="F660" s="101"/>
    </row>
    <row r="661">
      <c r="A661" s="57"/>
      <c r="F661" s="101"/>
    </row>
    <row r="662">
      <c r="A662" s="57"/>
      <c r="F662" s="101"/>
    </row>
    <row r="663">
      <c r="A663" s="57"/>
      <c r="F663" s="101"/>
    </row>
    <row r="664">
      <c r="A664" s="57"/>
      <c r="F664" s="101"/>
    </row>
    <row r="665">
      <c r="A665" s="57"/>
      <c r="F665" s="101"/>
    </row>
    <row r="666">
      <c r="A666" s="57"/>
      <c r="F666" s="101"/>
    </row>
    <row r="667">
      <c r="A667" s="57"/>
      <c r="F667" s="101"/>
    </row>
    <row r="668">
      <c r="A668" s="57"/>
      <c r="F668" s="101"/>
    </row>
    <row r="669">
      <c r="A669" s="57"/>
      <c r="F669" s="101"/>
    </row>
    <row r="670">
      <c r="A670" s="57"/>
      <c r="F670" s="101"/>
    </row>
    <row r="671">
      <c r="A671" s="57"/>
      <c r="F671" s="101"/>
    </row>
    <row r="672">
      <c r="A672" s="57"/>
      <c r="F672" s="101"/>
    </row>
    <row r="673">
      <c r="A673" s="57"/>
      <c r="F673" s="101"/>
    </row>
    <row r="674">
      <c r="A674" s="57"/>
      <c r="F674" s="101"/>
    </row>
    <row r="675">
      <c r="A675" s="57"/>
      <c r="F675" s="101"/>
    </row>
    <row r="676">
      <c r="A676" s="57"/>
      <c r="F676" s="101"/>
    </row>
    <row r="677">
      <c r="A677" s="57"/>
      <c r="F677" s="101"/>
    </row>
    <row r="678">
      <c r="A678" s="57"/>
      <c r="F678" s="101"/>
    </row>
    <row r="679">
      <c r="A679" s="57"/>
      <c r="F679" s="101"/>
    </row>
    <row r="680">
      <c r="A680" s="57"/>
      <c r="F680" s="101"/>
    </row>
    <row r="681">
      <c r="A681" s="57"/>
      <c r="F681" s="101"/>
    </row>
    <row r="682">
      <c r="A682" s="57"/>
      <c r="F682" s="101"/>
    </row>
    <row r="683">
      <c r="A683" s="57"/>
      <c r="F683" s="101"/>
    </row>
    <row r="684">
      <c r="A684" s="57"/>
      <c r="F684" s="101"/>
    </row>
    <row r="685">
      <c r="A685" s="57"/>
      <c r="F685" s="101"/>
    </row>
    <row r="686">
      <c r="A686" s="57"/>
      <c r="F686" s="101"/>
    </row>
    <row r="687">
      <c r="A687" s="57"/>
      <c r="F687" s="101"/>
    </row>
    <row r="688">
      <c r="A688" s="57"/>
      <c r="F688" s="101"/>
    </row>
    <row r="689">
      <c r="A689" s="57"/>
      <c r="F689" s="101"/>
    </row>
    <row r="690">
      <c r="A690" s="57"/>
      <c r="F690" s="101"/>
    </row>
    <row r="691">
      <c r="A691" s="57"/>
      <c r="F691" s="101"/>
    </row>
    <row r="692">
      <c r="A692" s="57"/>
      <c r="F692" s="101"/>
    </row>
    <row r="693">
      <c r="A693" s="57"/>
      <c r="F693" s="101"/>
    </row>
    <row r="694">
      <c r="A694" s="57"/>
      <c r="F694" s="101"/>
    </row>
    <row r="695">
      <c r="A695" s="57"/>
      <c r="F695" s="101"/>
    </row>
    <row r="696">
      <c r="A696" s="57"/>
      <c r="F696" s="101"/>
    </row>
    <row r="697">
      <c r="A697" s="57"/>
      <c r="F697" s="101"/>
    </row>
    <row r="698">
      <c r="A698" s="57"/>
      <c r="F698" s="101"/>
    </row>
    <row r="699">
      <c r="A699" s="57"/>
      <c r="F699" s="101"/>
    </row>
    <row r="700">
      <c r="A700" s="57"/>
      <c r="F700" s="101"/>
    </row>
    <row r="701">
      <c r="A701" s="57"/>
      <c r="F701" s="101"/>
    </row>
    <row r="702">
      <c r="A702" s="57"/>
      <c r="F702" s="101"/>
    </row>
    <row r="703">
      <c r="A703" s="57"/>
      <c r="F703" s="101"/>
    </row>
    <row r="704">
      <c r="A704" s="57"/>
      <c r="F704" s="101"/>
    </row>
    <row r="705">
      <c r="A705" s="57"/>
      <c r="F705" s="101"/>
    </row>
    <row r="706">
      <c r="A706" s="57"/>
      <c r="F706" s="101"/>
    </row>
    <row r="707">
      <c r="A707" s="57"/>
      <c r="F707" s="101"/>
    </row>
    <row r="708">
      <c r="A708" s="57"/>
      <c r="F708" s="101"/>
    </row>
    <row r="709">
      <c r="A709" s="57"/>
      <c r="F709" s="101"/>
    </row>
    <row r="710">
      <c r="A710" s="57"/>
      <c r="F710" s="101"/>
    </row>
    <row r="711">
      <c r="A711" s="57"/>
      <c r="F711" s="101"/>
    </row>
    <row r="712">
      <c r="A712" s="57"/>
      <c r="F712" s="101"/>
    </row>
    <row r="713">
      <c r="A713" s="57"/>
      <c r="F713" s="101"/>
    </row>
    <row r="714">
      <c r="A714" s="57"/>
      <c r="F714" s="101"/>
    </row>
    <row r="715">
      <c r="A715" s="57"/>
      <c r="F715" s="101"/>
    </row>
    <row r="716">
      <c r="A716" s="57"/>
      <c r="F716" s="101"/>
    </row>
    <row r="717">
      <c r="A717" s="57"/>
      <c r="F717" s="101"/>
    </row>
    <row r="718">
      <c r="A718" s="57"/>
      <c r="F718" s="101"/>
    </row>
    <row r="719">
      <c r="A719" s="57"/>
      <c r="F719" s="101"/>
    </row>
    <row r="720">
      <c r="A720" s="57"/>
      <c r="F720" s="101"/>
    </row>
    <row r="721">
      <c r="A721" s="57"/>
      <c r="F721" s="101"/>
    </row>
    <row r="722">
      <c r="A722" s="57"/>
      <c r="F722" s="101"/>
    </row>
    <row r="723">
      <c r="A723" s="57"/>
      <c r="F723" s="101"/>
    </row>
    <row r="724">
      <c r="A724" s="57"/>
      <c r="F724" s="101"/>
    </row>
    <row r="725">
      <c r="A725" s="57"/>
      <c r="F725" s="101"/>
    </row>
    <row r="726">
      <c r="A726" s="57"/>
      <c r="F726" s="101"/>
    </row>
    <row r="727">
      <c r="A727" s="57"/>
      <c r="F727" s="101"/>
    </row>
    <row r="728">
      <c r="A728" s="57"/>
      <c r="F728" s="101"/>
    </row>
    <row r="729">
      <c r="A729" s="57"/>
      <c r="F729" s="101"/>
    </row>
    <row r="730">
      <c r="A730" s="57"/>
      <c r="F730" s="101"/>
    </row>
    <row r="731">
      <c r="A731" s="57"/>
      <c r="F731" s="101"/>
    </row>
    <row r="732">
      <c r="A732" s="57"/>
      <c r="F732" s="101"/>
    </row>
    <row r="733">
      <c r="A733" s="57"/>
      <c r="F733" s="101"/>
    </row>
    <row r="734">
      <c r="A734" s="57"/>
      <c r="F734" s="101"/>
    </row>
    <row r="735">
      <c r="A735" s="57"/>
      <c r="F735" s="101"/>
    </row>
    <row r="736">
      <c r="A736" s="57"/>
      <c r="F736" s="101"/>
    </row>
    <row r="737">
      <c r="A737" s="57"/>
      <c r="F737" s="101"/>
    </row>
    <row r="738">
      <c r="A738" s="57"/>
      <c r="F738" s="101"/>
    </row>
    <row r="739">
      <c r="A739" s="57"/>
      <c r="F739" s="101"/>
    </row>
    <row r="740">
      <c r="A740" s="57"/>
      <c r="F740" s="101"/>
    </row>
    <row r="741">
      <c r="A741" s="57"/>
      <c r="F741" s="101"/>
    </row>
    <row r="742">
      <c r="A742" s="57"/>
      <c r="F742" s="101"/>
    </row>
    <row r="743">
      <c r="A743" s="57"/>
      <c r="F743" s="101"/>
    </row>
    <row r="744">
      <c r="A744" s="57"/>
      <c r="F744" s="101"/>
    </row>
    <row r="745">
      <c r="A745" s="57"/>
      <c r="F745" s="101"/>
    </row>
    <row r="746">
      <c r="A746" s="57"/>
      <c r="F746" s="101"/>
    </row>
    <row r="747">
      <c r="A747" s="57"/>
      <c r="F747" s="101"/>
    </row>
    <row r="748">
      <c r="A748" s="57"/>
      <c r="F748" s="101"/>
    </row>
    <row r="749">
      <c r="A749" s="57"/>
      <c r="F749" s="101"/>
    </row>
    <row r="750">
      <c r="A750" s="57"/>
      <c r="F750" s="101"/>
    </row>
    <row r="751">
      <c r="A751" s="57"/>
      <c r="F751" s="101"/>
    </row>
    <row r="752">
      <c r="A752" s="57"/>
      <c r="F752" s="101"/>
    </row>
    <row r="753">
      <c r="A753" s="57"/>
      <c r="F753" s="101"/>
    </row>
    <row r="754">
      <c r="A754" s="57"/>
      <c r="F754" s="101"/>
    </row>
    <row r="755">
      <c r="A755" s="57"/>
      <c r="F755" s="101"/>
    </row>
    <row r="756">
      <c r="A756" s="57"/>
      <c r="F756" s="101"/>
    </row>
    <row r="757">
      <c r="A757" s="57"/>
      <c r="F757" s="101"/>
    </row>
    <row r="758">
      <c r="A758" s="57"/>
      <c r="F758" s="101"/>
    </row>
    <row r="759">
      <c r="A759" s="57"/>
      <c r="F759" s="101"/>
    </row>
    <row r="760">
      <c r="A760" s="57"/>
      <c r="F760" s="101"/>
    </row>
    <row r="761">
      <c r="A761" s="57"/>
      <c r="F761" s="101"/>
    </row>
    <row r="762">
      <c r="A762" s="57"/>
      <c r="F762" s="101"/>
    </row>
    <row r="763">
      <c r="A763" s="57"/>
      <c r="F763" s="101"/>
    </row>
    <row r="764">
      <c r="A764" s="57"/>
      <c r="F764" s="101"/>
    </row>
    <row r="765">
      <c r="A765" s="57"/>
      <c r="F765" s="101"/>
    </row>
    <row r="766">
      <c r="A766" s="57"/>
      <c r="F766" s="101"/>
    </row>
    <row r="767">
      <c r="A767" s="57"/>
      <c r="F767" s="101"/>
    </row>
    <row r="768">
      <c r="A768" s="57"/>
      <c r="F768" s="101"/>
    </row>
    <row r="769">
      <c r="A769" s="57"/>
      <c r="F769" s="101"/>
    </row>
    <row r="770">
      <c r="A770" s="57"/>
      <c r="F770" s="101"/>
    </row>
    <row r="771">
      <c r="A771" s="57"/>
      <c r="F771" s="101"/>
    </row>
    <row r="772">
      <c r="A772" s="57"/>
      <c r="F772" s="101"/>
    </row>
    <row r="773">
      <c r="A773" s="57"/>
      <c r="F773" s="101"/>
    </row>
    <row r="774">
      <c r="A774" s="57"/>
      <c r="F774" s="101"/>
    </row>
    <row r="775">
      <c r="A775" s="57"/>
      <c r="F775" s="101"/>
    </row>
    <row r="776">
      <c r="A776" s="57"/>
      <c r="F776" s="101"/>
    </row>
    <row r="777">
      <c r="A777" s="57"/>
      <c r="F777" s="101"/>
    </row>
    <row r="778">
      <c r="A778" s="57"/>
      <c r="F778" s="101"/>
    </row>
    <row r="779">
      <c r="A779" s="57"/>
      <c r="F779" s="101"/>
    </row>
    <row r="780">
      <c r="A780" s="57"/>
      <c r="F780" s="101"/>
    </row>
    <row r="781">
      <c r="A781" s="57"/>
      <c r="F781" s="101"/>
    </row>
    <row r="782">
      <c r="A782" s="57"/>
      <c r="F782" s="101"/>
    </row>
    <row r="783">
      <c r="A783" s="57"/>
      <c r="F783" s="101"/>
    </row>
    <row r="784">
      <c r="A784" s="57"/>
      <c r="F784" s="101"/>
    </row>
    <row r="785">
      <c r="A785" s="57"/>
      <c r="F785" s="101"/>
    </row>
    <row r="786">
      <c r="A786" s="57"/>
      <c r="F786" s="101"/>
    </row>
    <row r="787">
      <c r="A787" s="57"/>
      <c r="F787" s="101"/>
    </row>
    <row r="788">
      <c r="A788" s="57"/>
      <c r="F788" s="101"/>
    </row>
    <row r="789">
      <c r="A789" s="57"/>
      <c r="F789" s="101"/>
    </row>
    <row r="790">
      <c r="A790" s="57"/>
      <c r="F790" s="101"/>
    </row>
    <row r="791">
      <c r="A791" s="57"/>
      <c r="F791" s="101"/>
    </row>
    <row r="792">
      <c r="A792" s="57"/>
      <c r="F792" s="101"/>
    </row>
    <row r="793">
      <c r="A793" s="57"/>
      <c r="F793" s="101"/>
    </row>
    <row r="794">
      <c r="A794" s="57"/>
      <c r="F794" s="101"/>
    </row>
    <row r="795">
      <c r="A795" s="57"/>
      <c r="F795" s="101"/>
    </row>
    <row r="796">
      <c r="A796" s="57"/>
      <c r="F796" s="101"/>
    </row>
    <row r="797">
      <c r="A797" s="57"/>
      <c r="F797" s="101"/>
    </row>
    <row r="798">
      <c r="A798" s="57"/>
      <c r="F798" s="101"/>
    </row>
    <row r="799">
      <c r="A799" s="57"/>
      <c r="F799" s="101"/>
    </row>
    <row r="800">
      <c r="A800" s="57"/>
      <c r="F800" s="101"/>
    </row>
    <row r="801">
      <c r="A801" s="57"/>
      <c r="F801" s="101"/>
    </row>
    <row r="802">
      <c r="A802" s="57"/>
      <c r="F802" s="101"/>
    </row>
    <row r="803">
      <c r="A803" s="57"/>
      <c r="F803" s="101"/>
    </row>
    <row r="804">
      <c r="A804" s="57"/>
      <c r="F804" s="101"/>
    </row>
    <row r="805">
      <c r="A805" s="57"/>
      <c r="F805" s="101"/>
    </row>
    <row r="806">
      <c r="A806" s="57"/>
      <c r="F806" s="101"/>
    </row>
    <row r="807">
      <c r="A807" s="57"/>
      <c r="F807" s="101"/>
    </row>
    <row r="808">
      <c r="A808" s="57"/>
      <c r="F808" s="101"/>
    </row>
    <row r="809">
      <c r="A809" s="57"/>
      <c r="F809" s="101"/>
    </row>
    <row r="810">
      <c r="A810" s="57"/>
      <c r="F810" s="101"/>
    </row>
    <row r="811">
      <c r="A811" s="57"/>
      <c r="F811" s="101"/>
    </row>
    <row r="812">
      <c r="A812" s="57"/>
      <c r="F812" s="101"/>
    </row>
    <row r="813">
      <c r="A813" s="57"/>
      <c r="F813" s="101"/>
    </row>
    <row r="814">
      <c r="A814" s="57"/>
      <c r="F814" s="101"/>
    </row>
    <row r="815">
      <c r="A815" s="57"/>
      <c r="F815" s="101"/>
    </row>
    <row r="816">
      <c r="A816" s="57"/>
      <c r="F816" s="101"/>
    </row>
    <row r="817">
      <c r="A817" s="57"/>
      <c r="F817" s="101"/>
    </row>
    <row r="818">
      <c r="A818" s="57"/>
      <c r="F818" s="101"/>
    </row>
    <row r="819">
      <c r="A819" s="57"/>
      <c r="F819" s="101"/>
    </row>
    <row r="820">
      <c r="A820" s="57"/>
      <c r="F820" s="101"/>
    </row>
    <row r="821">
      <c r="A821" s="57"/>
      <c r="F821" s="101"/>
    </row>
    <row r="822">
      <c r="A822" s="57"/>
      <c r="F822" s="101"/>
    </row>
    <row r="823">
      <c r="A823" s="57"/>
      <c r="F823" s="101"/>
    </row>
    <row r="824">
      <c r="A824" s="57"/>
      <c r="F824" s="101"/>
    </row>
    <row r="825">
      <c r="A825" s="57"/>
      <c r="F825" s="101"/>
    </row>
    <row r="826">
      <c r="A826" s="57"/>
      <c r="F826" s="101"/>
    </row>
    <row r="827">
      <c r="A827" s="57"/>
      <c r="F827" s="101"/>
    </row>
    <row r="828">
      <c r="A828" s="57"/>
      <c r="F828" s="101"/>
    </row>
    <row r="829">
      <c r="A829" s="57"/>
      <c r="F829" s="101"/>
    </row>
    <row r="830">
      <c r="A830" s="57"/>
      <c r="F830" s="101"/>
    </row>
    <row r="831">
      <c r="A831" s="57"/>
      <c r="F831" s="101"/>
    </row>
    <row r="832">
      <c r="A832" s="57"/>
      <c r="F832" s="101"/>
    </row>
    <row r="833">
      <c r="A833" s="57"/>
      <c r="F833" s="101"/>
    </row>
    <row r="834">
      <c r="A834" s="57"/>
      <c r="F834" s="101"/>
    </row>
    <row r="835">
      <c r="A835" s="57"/>
      <c r="F835" s="101"/>
    </row>
    <row r="836">
      <c r="A836" s="57"/>
      <c r="F836" s="101"/>
    </row>
    <row r="837">
      <c r="A837" s="57"/>
      <c r="F837" s="101"/>
    </row>
    <row r="838">
      <c r="A838" s="57"/>
      <c r="F838" s="101"/>
    </row>
    <row r="839">
      <c r="A839" s="57"/>
      <c r="F839" s="101"/>
    </row>
    <row r="840">
      <c r="A840" s="57"/>
      <c r="F840" s="101"/>
    </row>
    <row r="841">
      <c r="A841" s="57"/>
      <c r="F841" s="101"/>
    </row>
    <row r="842">
      <c r="A842" s="57"/>
      <c r="F842" s="101"/>
    </row>
    <row r="843">
      <c r="A843" s="57"/>
      <c r="F843" s="101"/>
    </row>
    <row r="844">
      <c r="A844" s="57"/>
      <c r="F844" s="101"/>
    </row>
    <row r="845">
      <c r="A845" s="57"/>
      <c r="F845" s="101"/>
    </row>
    <row r="846">
      <c r="A846" s="57"/>
      <c r="F846" s="101"/>
    </row>
    <row r="847">
      <c r="A847" s="57"/>
      <c r="F847" s="101"/>
    </row>
    <row r="848">
      <c r="A848" s="57"/>
      <c r="F848" s="101"/>
    </row>
    <row r="849">
      <c r="A849" s="57"/>
      <c r="F849" s="101"/>
    </row>
    <row r="850">
      <c r="A850" s="57"/>
      <c r="F850" s="101"/>
    </row>
    <row r="851">
      <c r="A851" s="57"/>
      <c r="F851" s="101"/>
    </row>
    <row r="852">
      <c r="A852" s="57"/>
      <c r="F852" s="101"/>
    </row>
    <row r="853">
      <c r="A853" s="57"/>
      <c r="F853" s="101"/>
    </row>
    <row r="854">
      <c r="A854" s="57"/>
      <c r="F854" s="101"/>
    </row>
    <row r="855">
      <c r="A855" s="57"/>
      <c r="F855" s="101"/>
    </row>
    <row r="856">
      <c r="A856" s="57"/>
      <c r="F856" s="101"/>
    </row>
    <row r="857">
      <c r="A857" s="57"/>
      <c r="F857" s="101"/>
    </row>
    <row r="858">
      <c r="A858" s="57"/>
      <c r="F858" s="101"/>
    </row>
    <row r="859">
      <c r="A859" s="57"/>
      <c r="F859" s="101"/>
    </row>
    <row r="860">
      <c r="A860" s="57"/>
      <c r="F860" s="101"/>
    </row>
    <row r="861">
      <c r="A861" s="57"/>
      <c r="F861" s="101"/>
    </row>
    <row r="862">
      <c r="A862" s="57"/>
      <c r="F862" s="101"/>
    </row>
    <row r="863">
      <c r="A863" s="57"/>
      <c r="F863" s="101"/>
    </row>
    <row r="864">
      <c r="A864" s="57"/>
      <c r="F864" s="101"/>
    </row>
    <row r="865">
      <c r="A865" s="57"/>
      <c r="F865" s="101"/>
    </row>
    <row r="866">
      <c r="A866" s="57"/>
      <c r="F866" s="101"/>
    </row>
    <row r="867">
      <c r="A867" s="57"/>
      <c r="F867" s="101"/>
    </row>
    <row r="868">
      <c r="A868" s="57"/>
      <c r="F868" s="101"/>
    </row>
    <row r="869">
      <c r="A869" s="57"/>
      <c r="F869" s="101"/>
    </row>
    <row r="870">
      <c r="A870" s="57"/>
      <c r="F870" s="101"/>
    </row>
    <row r="871">
      <c r="A871" s="57"/>
      <c r="F871" s="101"/>
    </row>
    <row r="872">
      <c r="A872" s="57"/>
      <c r="F872" s="101"/>
    </row>
    <row r="873">
      <c r="A873" s="57"/>
      <c r="F873" s="101"/>
    </row>
    <row r="874">
      <c r="A874" s="57"/>
      <c r="F874" s="101"/>
    </row>
    <row r="875">
      <c r="A875" s="57"/>
      <c r="F875" s="101"/>
    </row>
    <row r="876">
      <c r="A876" s="57"/>
      <c r="F876" s="101"/>
    </row>
    <row r="877">
      <c r="A877" s="57"/>
      <c r="F877" s="101"/>
    </row>
    <row r="878">
      <c r="A878" s="57"/>
      <c r="F878" s="101"/>
    </row>
    <row r="879">
      <c r="A879" s="57"/>
      <c r="F879" s="101"/>
    </row>
    <row r="880">
      <c r="A880" s="57"/>
      <c r="F880" s="101"/>
    </row>
    <row r="881">
      <c r="A881" s="57"/>
      <c r="F881" s="101"/>
    </row>
    <row r="882">
      <c r="A882" s="57"/>
      <c r="F882" s="101"/>
    </row>
    <row r="883">
      <c r="A883" s="57"/>
      <c r="F883" s="101"/>
    </row>
    <row r="884">
      <c r="A884" s="57"/>
      <c r="F884" s="101"/>
    </row>
    <row r="885">
      <c r="A885" s="57"/>
      <c r="F885" s="101"/>
    </row>
    <row r="886">
      <c r="A886" s="57"/>
      <c r="F886" s="101"/>
    </row>
    <row r="887">
      <c r="A887" s="57"/>
      <c r="F887" s="101"/>
    </row>
    <row r="888">
      <c r="A888" s="57"/>
      <c r="F888" s="101"/>
    </row>
    <row r="889">
      <c r="A889" s="57"/>
      <c r="F889" s="101"/>
    </row>
    <row r="890">
      <c r="A890" s="57"/>
      <c r="F890" s="101"/>
    </row>
    <row r="891">
      <c r="A891" s="57"/>
      <c r="F891" s="101"/>
    </row>
    <row r="892">
      <c r="A892" s="57"/>
      <c r="F892" s="101"/>
    </row>
    <row r="893">
      <c r="A893" s="57"/>
      <c r="F893" s="101"/>
    </row>
    <row r="894">
      <c r="A894" s="57"/>
      <c r="F894" s="101"/>
    </row>
    <row r="895">
      <c r="A895" s="57"/>
      <c r="F895" s="101"/>
    </row>
    <row r="896">
      <c r="A896" s="57"/>
      <c r="F896" s="101"/>
    </row>
    <row r="897">
      <c r="A897" s="57"/>
      <c r="F897" s="101"/>
    </row>
    <row r="898">
      <c r="A898" s="57"/>
      <c r="F898" s="101"/>
    </row>
    <row r="899">
      <c r="A899" s="57"/>
      <c r="F899" s="101"/>
    </row>
    <row r="900">
      <c r="A900" s="57"/>
      <c r="F900" s="101"/>
    </row>
    <row r="901">
      <c r="A901" s="57"/>
      <c r="F901" s="101"/>
    </row>
    <row r="902">
      <c r="A902" s="57"/>
      <c r="F902" s="101"/>
    </row>
    <row r="903">
      <c r="A903" s="57"/>
      <c r="F903" s="101"/>
    </row>
    <row r="904">
      <c r="A904" s="57"/>
      <c r="F904" s="101"/>
    </row>
    <row r="905">
      <c r="A905" s="57"/>
      <c r="F905" s="101"/>
    </row>
    <row r="906">
      <c r="A906" s="57"/>
      <c r="F906" s="101"/>
    </row>
    <row r="907">
      <c r="A907" s="57"/>
      <c r="F907" s="101"/>
    </row>
    <row r="908">
      <c r="A908" s="57"/>
      <c r="F908" s="101"/>
    </row>
    <row r="909">
      <c r="A909" s="57"/>
      <c r="F909" s="101"/>
    </row>
    <row r="910">
      <c r="A910" s="57"/>
      <c r="F910" s="101"/>
    </row>
    <row r="911">
      <c r="A911" s="57"/>
      <c r="F911" s="101"/>
    </row>
    <row r="912">
      <c r="A912" s="57"/>
      <c r="F912" s="101"/>
    </row>
    <row r="913">
      <c r="A913" s="57"/>
      <c r="F913" s="101"/>
    </row>
    <row r="914">
      <c r="A914" s="57"/>
      <c r="F914" s="101"/>
    </row>
    <row r="915">
      <c r="A915" s="57"/>
      <c r="F915" s="101"/>
    </row>
    <row r="916">
      <c r="A916" s="57"/>
      <c r="F916" s="101"/>
    </row>
    <row r="917">
      <c r="A917" s="57"/>
      <c r="F917" s="101"/>
    </row>
    <row r="918">
      <c r="A918" s="57"/>
      <c r="F918" s="101"/>
    </row>
    <row r="919">
      <c r="A919" s="57"/>
      <c r="F919" s="101"/>
    </row>
    <row r="920">
      <c r="A920" s="57"/>
      <c r="F920" s="101"/>
    </row>
    <row r="921">
      <c r="A921" s="57"/>
      <c r="F921" s="101"/>
    </row>
    <row r="922">
      <c r="A922" s="57"/>
      <c r="F922" s="101"/>
    </row>
    <row r="923">
      <c r="A923" s="57"/>
      <c r="F923" s="101"/>
    </row>
    <row r="924">
      <c r="A924" s="57"/>
      <c r="F924" s="101"/>
    </row>
    <row r="925">
      <c r="A925" s="57"/>
      <c r="F925" s="101"/>
    </row>
    <row r="926">
      <c r="A926" s="57"/>
      <c r="F926" s="101"/>
    </row>
    <row r="927">
      <c r="A927" s="57"/>
      <c r="F927" s="101"/>
    </row>
    <row r="928">
      <c r="A928" s="57"/>
      <c r="F928" s="101"/>
    </row>
    <row r="929">
      <c r="A929" s="57"/>
      <c r="F929" s="101"/>
    </row>
    <row r="930">
      <c r="A930" s="57"/>
      <c r="F930" s="101"/>
    </row>
    <row r="931">
      <c r="A931" s="57"/>
      <c r="F931" s="101"/>
    </row>
    <row r="932">
      <c r="A932" s="57"/>
      <c r="F932" s="101"/>
    </row>
    <row r="933">
      <c r="A933" s="57"/>
      <c r="F933" s="101"/>
    </row>
    <row r="934">
      <c r="A934" s="57"/>
      <c r="F934" s="101"/>
    </row>
    <row r="935">
      <c r="A935" s="57"/>
      <c r="F935" s="101"/>
    </row>
    <row r="936">
      <c r="A936" s="57"/>
      <c r="F936" s="101"/>
    </row>
    <row r="937">
      <c r="A937" s="57"/>
      <c r="F937" s="101"/>
    </row>
    <row r="938">
      <c r="A938" s="57"/>
      <c r="F938" s="101"/>
    </row>
    <row r="939">
      <c r="A939" s="57"/>
      <c r="F939" s="101"/>
    </row>
    <row r="940">
      <c r="A940" s="57"/>
      <c r="F940" s="101"/>
    </row>
    <row r="941">
      <c r="A941" s="57"/>
      <c r="F941" s="101"/>
    </row>
    <row r="942">
      <c r="A942" s="57"/>
      <c r="F942" s="101"/>
    </row>
    <row r="943">
      <c r="A943" s="57"/>
      <c r="F943" s="101"/>
    </row>
    <row r="944">
      <c r="A944" s="57"/>
      <c r="F944" s="101"/>
    </row>
    <row r="945">
      <c r="A945" s="57"/>
      <c r="F945" s="101"/>
    </row>
    <row r="946">
      <c r="A946" s="57"/>
      <c r="F946" s="101"/>
    </row>
    <row r="947">
      <c r="A947" s="57"/>
      <c r="F947" s="101"/>
    </row>
    <row r="948">
      <c r="A948" s="57"/>
      <c r="F948" s="101"/>
    </row>
    <row r="949">
      <c r="A949" s="57"/>
      <c r="F949" s="101"/>
    </row>
    <row r="950">
      <c r="A950" s="57"/>
      <c r="F950" s="101"/>
    </row>
    <row r="951">
      <c r="A951" s="57"/>
      <c r="F951" s="101"/>
    </row>
    <row r="952">
      <c r="A952" s="57"/>
      <c r="F952" s="101"/>
    </row>
    <row r="953">
      <c r="A953" s="57"/>
      <c r="F953" s="101"/>
    </row>
    <row r="954">
      <c r="A954" s="57"/>
      <c r="F954" s="101"/>
    </row>
    <row r="955">
      <c r="A955" s="57"/>
      <c r="F955" s="101"/>
    </row>
    <row r="956">
      <c r="A956" s="57"/>
      <c r="F956" s="101"/>
    </row>
    <row r="957">
      <c r="A957" s="57"/>
      <c r="F957" s="101"/>
    </row>
    <row r="958">
      <c r="A958" s="57"/>
      <c r="F958" s="101"/>
    </row>
    <row r="959">
      <c r="A959" s="57"/>
      <c r="F959" s="101"/>
    </row>
    <row r="960">
      <c r="A960" s="57"/>
      <c r="F960" s="101"/>
    </row>
    <row r="961">
      <c r="A961" s="57"/>
      <c r="F961" s="101"/>
    </row>
    <row r="962">
      <c r="A962" s="57"/>
      <c r="F962" s="101"/>
    </row>
    <row r="963">
      <c r="A963" s="57"/>
      <c r="F963" s="101"/>
    </row>
    <row r="964">
      <c r="A964" s="57"/>
      <c r="F964" s="101"/>
    </row>
    <row r="965">
      <c r="A965" s="57"/>
      <c r="F965" s="101"/>
    </row>
    <row r="966">
      <c r="A966" s="57"/>
      <c r="F966" s="101"/>
    </row>
    <row r="967">
      <c r="A967" s="57"/>
      <c r="F967" s="101"/>
    </row>
    <row r="968">
      <c r="A968" s="57"/>
      <c r="F968" s="101"/>
    </row>
    <row r="969">
      <c r="A969" s="57"/>
      <c r="F969" s="101"/>
    </row>
    <row r="970">
      <c r="A970" s="57"/>
      <c r="F970" s="101"/>
    </row>
    <row r="971">
      <c r="A971" s="57"/>
      <c r="F971" s="101"/>
    </row>
    <row r="972">
      <c r="A972" s="57"/>
      <c r="F972" s="101"/>
    </row>
    <row r="973">
      <c r="A973" s="57"/>
      <c r="F973" s="101"/>
    </row>
    <row r="974">
      <c r="A974" s="57"/>
      <c r="F974" s="101"/>
    </row>
    <row r="975">
      <c r="A975" s="57"/>
      <c r="F975" s="101"/>
    </row>
    <row r="976">
      <c r="A976" s="57"/>
      <c r="F976" s="101"/>
    </row>
    <row r="977">
      <c r="A977" s="57"/>
      <c r="F977" s="101"/>
    </row>
    <row r="978">
      <c r="A978" s="57"/>
      <c r="F978" s="101"/>
    </row>
    <row r="979">
      <c r="A979" s="57"/>
      <c r="F979" s="101"/>
    </row>
    <row r="980">
      <c r="A980" s="57"/>
      <c r="F980" s="101"/>
    </row>
    <row r="981">
      <c r="A981" s="57"/>
      <c r="F981" s="101"/>
    </row>
    <row r="982">
      <c r="A982" s="57"/>
      <c r="F982" s="101"/>
    </row>
    <row r="983">
      <c r="A983" s="57"/>
      <c r="F983" s="101"/>
    </row>
    <row r="984">
      <c r="A984" s="57"/>
      <c r="F984" s="101"/>
    </row>
    <row r="985">
      <c r="A985" s="57"/>
      <c r="F985" s="101"/>
    </row>
    <row r="986">
      <c r="A986" s="57"/>
      <c r="F986" s="101"/>
    </row>
    <row r="987">
      <c r="A987" s="57"/>
      <c r="F987" s="101"/>
    </row>
    <row r="988">
      <c r="A988" s="57"/>
      <c r="F988" s="101"/>
    </row>
    <row r="989">
      <c r="A989" s="57"/>
      <c r="F989" s="101"/>
    </row>
    <row r="990">
      <c r="A990" s="57"/>
      <c r="F990" s="101"/>
    </row>
    <row r="991">
      <c r="A991" s="57"/>
      <c r="F991" s="101"/>
    </row>
    <row r="992">
      <c r="A992" s="57"/>
      <c r="F992" s="101"/>
    </row>
    <row r="993">
      <c r="A993" s="57"/>
      <c r="F993" s="101"/>
    </row>
    <row r="994">
      <c r="A994" s="57"/>
      <c r="F994" s="101"/>
    </row>
    <row r="995">
      <c r="A995" s="57"/>
      <c r="F995" s="101"/>
    </row>
    <row r="996">
      <c r="A996" s="57"/>
      <c r="F996" s="101"/>
    </row>
    <row r="997">
      <c r="A997" s="57"/>
      <c r="F997" s="101"/>
    </row>
    <row r="998">
      <c r="A998" s="57"/>
      <c r="F998" s="101"/>
    </row>
    <row r="999">
      <c r="A999" s="57"/>
      <c r="F999" s="101"/>
    </row>
    <row r="1000">
      <c r="A1000" s="57"/>
      <c r="F1000" s="10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